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Сводка" sheetId="2" state="visible" r:id="rId2"/>
    <sheet name="Реестр" sheetId="3" state="visible" r:id="rId3"/>
    <sheet name="Навигация" sheetId="4" state="visible" r:id="rId4"/>
    <sheet name="Связи" sheetId="5" state="visible" r:id="rId5"/>
    <sheet name="Сценарии" sheetId="6" state="visible" r:id="rId6"/>
    <sheet name="Вопросы" sheetId="7" state="visible" r:id="rId7"/>
  </sheets>
  <definedNames>
    <definedName name="_xlnm._FilterDatabase" localSheetId="2" hidden="1">'Реестр'!$A$1:$N$60</definedName>
    <definedName name="_xlnm._FilterDatabase" localSheetId="3" hidden="1">'Навигация'!$A$1:$K$37</definedName>
    <definedName name="_xlnm._FilterDatabase" localSheetId="4" hidden="1">'Связи'!$A$1:$K$149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EF2F7"/>
        <bgColor rgb="FFFFFFFF"/>
      </patternFill>
    </fill>
    <fill>
      <patternFill patternType="solid">
        <fgColor rgb="FFFFF4B8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B8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DE2E2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B8"/>
      <rgbColor rgb="FFEEF2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2" min="1" max="1"/>
  </cols>
  <sheetData>
    <row r="1" ht="17.35" customHeight="1" s="13">
      <c r="A1" s="14" t="inlineStr">
        <is>
          <t>Карта связей прототипа — фаза 0</t>
        </is>
      </c>
    </row>
    <row r="2" ht="15" customHeight="1" s="13">
      <c r="A2" s="17" t="n"/>
    </row>
    <row r="3" ht="15" customHeight="1" s="13">
      <c r="A3" s="18" t="inlineStr">
        <is>
          <t>Эталонная карта переходов: как экраны должны быть связаны. Состав экранов приведён к прототипу и паспорту сервиса: клиентская часть (лендинг, запись в четыре шага без предоплаты, кабинет) и раздел администратора. Кабинета мастера, оплат, листа ожидания, сообщений, отзывов и аналитики в продукте нет.</t>
        </is>
      </c>
    </row>
    <row r="4" ht="35.05" customHeight="1" s="13">
      <c r="A4" s="17" t="inlineStr">
        <is>
          <t>Эталонная карта переходов: как экраны должны быть связаны. Кабинеты мастера и администратора собраны по спроектированным экранам, клиентская часть — по результатам сверки с проектом (лендинг с якорным меню, четыре шага записи без предоплаты, кабинет из пяти пунктов).</t>
        </is>
      </c>
    </row>
    <row r="5" ht="15" customHeight="1" s="13">
      <c r="A5" s="17" t="n"/>
    </row>
    <row r="6" ht="15" customHeight="1" s="13">
      <c r="A6" s="18" t="inlineStr">
        <is>
          <t>Листы</t>
        </is>
      </c>
    </row>
    <row r="7" ht="23.85" customHeight="1" s="13">
      <c r="A7" s="17" t="inlineStr">
        <is>
          <t>Реестр — все страницы, модалки, шторки и состояния с ID. Колонки «Исходящих», «Входящих» и «Проверка» считаются автоматически.</t>
        </is>
      </c>
    </row>
    <row r="8" ht="15" customHeight="1" s="13">
      <c r="A8" s="17" t="inlineStr">
        <is>
          <t>Навигация — повторяющиеся элементы: шапки, подвал, меню, таб-бар, переключатель ролей.</t>
        </is>
      </c>
    </row>
    <row r="9" ht="15" customHeight="1" s="13">
      <c r="A9" s="17" t="inlineStr">
        <is>
          <t>Связи — переходы внутри содержимого страниц, по блокам.</t>
        </is>
      </c>
    </row>
    <row r="10" ht="15" customHeight="1" s="13">
      <c r="A10" s="17" t="inlineStr">
        <is>
          <t>Сценарии — сквозные пути для финальной проверки.</t>
        </is>
      </c>
    </row>
    <row r="11" ht="15" customHeight="1" s="13">
      <c r="A11" s="17" t="inlineStr">
        <is>
          <t>Вопросы — что нужно решить до связывания.</t>
        </is>
      </c>
    </row>
    <row r="12" ht="15" customHeight="1" s="13">
      <c r="A12" s="17" t="inlineStr">
        <is>
          <t>Сводка — счётчики по блокам: сироты, тупики, прогресс.</t>
        </is>
      </c>
    </row>
    <row r="13" ht="15" customHeight="1" s="13">
      <c r="A13" s="17" t="n"/>
    </row>
    <row r="14" ht="15" customHeight="1" s="13">
      <c r="A14" s="18" t="inlineStr">
        <is>
          <t>Цвета</t>
        </is>
      </c>
    </row>
    <row r="15" ht="15" customHeight="1" s="13">
      <c r="A15" s="17" t="inlineStr">
        <is>
          <t>Жёлтые ячейки заполняете вы: название в проекте, статус сверки, статус применения.</t>
        </is>
      </c>
    </row>
    <row r="16" ht="15" customHeight="1" s="13">
      <c r="A16" s="17" t="inlineStr">
        <is>
          <t>Серо-голубые ячейки — формулы, не редактировать.</t>
        </is>
      </c>
    </row>
    <row r="17" ht="15" customHeight="1" s="13">
      <c r="A17" s="17" t="n"/>
    </row>
    <row r="18" ht="15" customHeight="1" s="13">
      <c r="A18" s="18" t="inlineStr">
        <is>
          <t>Спецзначения в колонке «Куда»</t>
        </is>
      </c>
    </row>
    <row r="19" ht="35.05" customHeight="1" s="13">
      <c r="A19" s="17" t="inlineStr">
        <is>
          <t>EXT — внешняя ссылка (телефон, карта, соцсети). ANCHOR — прокрутка к секции внутри лендинга, а не переход. PARENT — закрыть оверлей и вернуться туда, откуда он открыт. Пустое значение с действием «?» — назначение не определено, см. «Вопросы».</t>
        </is>
      </c>
    </row>
    <row r="20" ht="15" customHeight="1" s="13">
      <c r="A20" s="17" t="n"/>
    </row>
    <row r="21" ht="15" customHeight="1" s="13">
      <c r="A21" s="18" t="inlineStr">
        <is>
          <t>Порядок работы</t>
        </is>
      </c>
    </row>
    <row r="22" ht="15" customHeight="1" s="13">
      <c r="A22" s="17" t="inlineStr">
        <is>
          <t>1. Сверьте реестр с проектом в Claude Design (промпт сверки — в ответе в чате). Заполните «Название в проекте» и «Сверка».</t>
        </is>
      </c>
    </row>
    <row r="23" ht="23.85" customHeight="1" s="13">
      <c r="A23" s="17" t="inlineStr">
        <is>
          <t>2. Если в проекте другие экраны — добавьте строки в реестр, удалите лишние. Формулы подсветят связи, ведущие на ID, которых нет в реестре.</t>
        </is>
      </c>
    </row>
    <row r="24" ht="15" customHeight="1" s="13">
      <c r="A24" s="17" t="inlineStr">
        <is>
          <t>3. Закройте «Вопросы».</t>
        </is>
      </c>
    </row>
    <row r="25" ht="23.85" customHeight="1" s="13">
      <c r="A25" s="17" t="inlineStr">
        <is>
          <t>4. В промпты связывания вставляйте строки нужного блока с листов «Навигация» и «Связи» (фильтр по колонке «Блок» или «Набор»).</t>
        </is>
      </c>
    </row>
    <row r="26" ht="15" customHeight="1" s="13">
      <c r="A26" s="17" t="inlineStr">
        <is>
          <t>5. После каждого блока отмечайте «Статус» в листе «Связи». Сводка покажет прогресс.</t>
        </is>
      </c>
    </row>
    <row r="27" ht="15" customHeight="1" s="13">
      <c r="A27" s="17" t="n"/>
    </row>
    <row r="28" ht="15" customHeight="1" s="13">
      <c r="A28" s="18" t="inlineStr">
        <is>
          <t>Как читать «Проверку» в реестре</t>
        </is>
      </c>
    </row>
    <row r="29" ht="23.85" customHeight="1" s="13">
      <c r="A29" s="17" t="inlineStr">
        <is>
          <t>⚠ сирота — на страницу никто не ведёт. ⚠ тупик — со страницы некуда уйти. «демо / вход по событию» — состояние или служебная страница без естественного входа, это допустимо. «вне графа» — дизайн-система.</t>
        </is>
      </c>
    </row>
    <row r="31">
      <c r="A31" s="17" t="inlineStr">
        <is>
          <t>Сверка с прототипом</t>
        </is>
      </c>
    </row>
    <row r="32">
      <c r="A32" s="18" t="inlineStr">
        <is>
          <t>25.09.2026 реестр, навигация, связи, сценарии и вопросы сверены с Prototype/Прототип - Ноготочки.dc.html и Лендинг - Ноготочки.dc.html. Экраны, которых нет в прототипе и которые исключает паспорт, удалены вместе со своими связями. Факт по каждому пункту — в колонках «Комментарий сверки» и «Факт в прототипе». Строки с примечанием «Добавлено при сверке» — экраны и переходы, которых раньше не было в карте.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2" min="1" max="2"/>
    <col width="14" customWidth="1" style="12" min="3" max="3"/>
    <col width="11" customWidth="1" style="12" min="4" max="4"/>
    <col width="13" customWidth="1" style="12" min="5" max="5"/>
    <col width="15" customWidth="1" style="12" min="6" max="6"/>
    <col width="9" customWidth="1" style="12" min="7" max="7"/>
    <col width="10" customWidth="1" style="12" min="8" max="8"/>
    <col width="12" customWidth="1" style="12" min="9" max="9"/>
  </cols>
  <sheetData>
    <row r="1" ht="31.5" customHeight="1" s="13">
      <c r="A1" s="25" t="inlineStr">
        <is>
          <t>Блок</t>
        </is>
      </c>
      <c r="B1" s="25" t="inlineStr">
        <is>
          <t>Страниц</t>
        </is>
      </c>
      <c r="C1" s="25" t="inlineStr">
        <is>
          <t>Связей из блока</t>
        </is>
      </c>
      <c r="D1" s="25" t="inlineStr">
        <is>
          <t>Связано</t>
        </is>
      </c>
      <c r="E1" s="25" t="inlineStr">
        <is>
          <t>Нет элемента</t>
        </is>
      </c>
      <c r="F1" s="25" t="inlineStr">
        <is>
          <t>Требует решения</t>
        </is>
      </c>
      <c r="G1" s="25" t="inlineStr">
        <is>
          <t>Сирот</t>
        </is>
      </c>
      <c r="H1" s="25" t="inlineStr">
        <is>
          <t>Тупиков</t>
        </is>
      </c>
      <c r="I1" s="25" t="inlineStr">
        <is>
          <t>Не сверено</t>
        </is>
      </c>
    </row>
    <row r="2" ht="15" customHeight="1" s="13">
      <c r="A2" s="27" t="inlineStr">
        <is>
          <t>PUB</t>
        </is>
      </c>
      <c r="B2" s="29">
        <f>COUNTIF(Реестр!$B:$B,A2)</f>
        <v/>
      </c>
      <c r="C2" s="29">
        <f>COUNTIF(Связи!$B:$B,A2)</f>
        <v/>
      </c>
      <c r="D2" s="29">
        <f>COUNTIFS(Связи!$B:$B,A2,Связи!$J:$J,"Связано")</f>
        <v/>
      </c>
      <c r="E2" s="29">
        <f>COUNTIFS(Связи!$B:$B,A2,Связи!$J:$J,"Нет элемента")</f>
        <v/>
      </c>
      <c r="F2" s="29">
        <f>COUNTIFS(Связи!$B:$B,A2,Связи!$J:$J,"Требует решения")</f>
        <v/>
      </c>
      <c r="G2" s="29">
        <f>COUNTIFS(Реестр!$B:$B,A2,Реестр!$L:$L,"⚠ сирота")</f>
        <v/>
      </c>
      <c r="H2" s="29">
        <f>COUNTIFS(Реестр!$B:$B,A2,Реестр!$L:$L,"⚠ тупик")</f>
        <v/>
      </c>
      <c r="I2" s="29">
        <f>COUNTIFS(Реестр!$B:$B,A2,Реестр!$I:$I,"Не сверено")</f>
        <v/>
      </c>
    </row>
    <row r="3" ht="15" customHeight="1" s="13">
      <c r="A3" s="27" t="inlineStr">
        <is>
          <t>AUTH</t>
        </is>
      </c>
      <c r="B3" s="29">
        <f>COUNTIF(Реестр!$B:$B,A3)</f>
        <v/>
      </c>
      <c r="C3" s="29">
        <f>COUNTIF(Связи!$B:$B,A3)</f>
        <v/>
      </c>
      <c r="D3" s="29">
        <f>COUNTIFS(Связи!$B:$B,A3,Связи!$J:$J,"Связано")</f>
        <v/>
      </c>
      <c r="E3" s="29">
        <f>COUNTIFS(Связи!$B:$B,A3,Связи!$J:$J,"Нет элемента")</f>
        <v/>
      </c>
      <c r="F3" s="29">
        <f>COUNTIFS(Связи!$B:$B,A3,Связи!$J:$J,"Требует решения")</f>
        <v/>
      </c>
      <c r="G3" s="29">
        <f>COUNTIFS(Реестр!$B:$B,A3,Реестр!$L:$L,"⚠ сирота")</f>
        <v/>
      </c>
      <c r="H3" s="29">
        <f>COUNTIFS(Реестр!$B:$B,A3,Реестр!$L:$L,"⚠ тупик")</f>
        <v/>
      </c>
      <c r="I3" s="29">
        <f>COUNTIFS(Реестр!$B:$B,A3,Реестр!$I:$I,"Не сверено")</f>
        <v/>
      </c>
    </row>
    <row r="4" ht="15" customHeight="1" s="13">
      <c r="A4" s="27" t="inlineStr">
        <is>
          <t>BOOK</t>
        </is>
      </c>
      <c r="B4" s="29">
        <f>COUNTIF(Реестр!$B:$B,A4)</f>
        <v/>
      </c>
      <c r="C4" s="29">
        <f>COUNTIF(Связи!$B:$B,A4)</f>
        <v/>
      </c>
      <c r="D4" s="29">
        <f>COUNTIFS(Связи!$B:$B,A4,Связи!$J:$J,"Связано")</f>
        <v/>
      </c>
      <c r="E4" s="29">
        <f>COUNTIFS(Связи!$B:$B,A4,Связи!$J:$J,"Нет элемента")</f>
        <v/>
      </c>
      <c r="F4" s="29">
        <f>COUNTIFS(Связи!$B:$B,A4,Связи!$J:$J,"Требует решения")</f>
        <v/>
      </c>
      <c r="G4" s="29">
        <f>COUNTIFS(Реестр!$B:$B,A4,Реестр!$L:$L,"⚠ сирота")</f>
        <v/>
      </c>
      <c r="H4" s="29">
        <f>COUNTIFS(Реестр!$B:$B,A4,Реестр!$L:$L,"⚠ тупик")</f>
        <v/>
      </c>
      <c r="I4" s="29">
        <f>COUNTIFS(Реестр!$B:$B,A4,Реестр!$I:$I,"Не сверено")</f>
        <v/>
      </c>
    </row>
    <row r="5" ht="15" customHeight="1" s="13">
      <c r="A5" s="27" t="inlineStr">
        <is>
          <t>CAB</t>
        </is>
      </c>
      <c r="B5" s="29">
        <f>COUNTIF(Реестр!$B:$B,A5)</f>
        <v/>
      </c>
      <c r="C5" s="29">
        <f>COUNTIF(Связи!$B:$B,A5)</f>
        <v/>
      </c>
      <c r="D5" s="29">
        <f>COUNTIFS(Связи!$B:$B,A5,Связи!$J:$J,"Связано")</f>
        <v/>
      </c>
      <c r="E5" s="29">
        <f>COUNTIFS(Связи!$B:$B,A5,Связи!$J:$J,"Нет элемента")</f>
        <v/>
      </c>
      <c r="F5" s="29">
        <f>COUNTIFS(Связи!$B:$B,A5,Связи!$J:$J,"Требует решения")</f>
        <v/>
      </c>
      <c r="G5" s="29">
        <f>COUNTIFS(Реестр!$B:$B,A5,Реестр!$L:$L,"⚠ сирота")</f>
        <v/>
      </c>
      <c r="H5" s="29">
        <f>COUNTIFS(Реестр!$B:$B,A5,Реестр!$L:$L,"⚠ тупик")</f>
        <v/>
      </c>
      <c r="I5" s="29">
        <f>COUNTIFS(Реестр!$B:$B,A5,Реестр!$I:$I,"Не сверено")</f>
        <v/>
      </c>
    </row>
    <row r="6" ht="15" customHeight="1" s="13">
      <c r="A6" s="27" t="inlineStr">
        <is>
          <t>A</t>
        </is>
      </c>
      <c r="B6" s="29">
        <f>COUNTIF(Реестр!$B:$B,A6)</f>
        <v/>
      </c>
      <c r="C6" s="29">
        <f>COUNTIF(Связи!$B:$B,A6)</f>
        <v/>
      </c>
      <c r="D6" s="29">
        <f>COUNTIFS(Связи!$B:$B,A6,Связи!$J:$J,"Связано")</f>
        <v/>
      </c>
      <c r="E6" s="29">
        <f>COUNTIFS(Связи!$B:$B,A6,Связи!$J:$J,"Нет элемента")</f>
        <v/>
      </c>
      <c r="F6" s="29">
        <f>COUNTIFS(Связи!$B:$B,A6,Связи!$J:$J,"Требует решения")</f>
        <v/>
      </c>
      <c r="G6" s="29">
        <f>COUNTIFS(Реестр!$B:$B,A6,Реестр!$L:$L,"⚠ сирота")</f>
        <v/>
      </c>
      <c r="H6" s="29">
        <f>COUNTIFS(Реестр!$B:$B,A6,Реестр!$L:$L,"⚠ тупик")</f>
        <v/>
      </c>
      <c r="I6" s="29">
        <f>COUNTIFS(Реестр!$B:$B,A6,Реестр!$I:$I,"Не сверено")</f>
        <v/>
      </c>
    </row>
    <row r="7" ht="15" customHeight="1" s="13">
      <c r="A7" s="27" t="inlineStr">
        <is>
          <t>SYS</t>
        </is>
      </c>
      <c r="B7" s="29">
        <f>COUNTIF(Реестр!$B:$B,A7)</f>
        <v/>
      </c>
      <c r="C7" s="29">
        <f>COUNTIF(Связи!$B:$B,A7)</f>
        <v/>
      </c>
      <c r="D7" s="29">
        <f>COUNTIFS(Связи!$B:$B,A7,Связи!$J:$J,"Связано")</f>
        <v/>
      </c>
      <c r="E7" s="29">
        <f>COUNTIFS(Связи!$B:$B,A7,Связи!$J:$J,"Нет элемента")</f>
        <v/>
      </c>
      <c r="F7" s="29">
        <f>COUNTIFS(Связи!$B:$B,A7,Связи!$J:$J,"Требует решения")</f>
        <v/>
      </c>
      <c r="G7" s="29">
        <f>COUNTIFS(Реестр!$B:$B,A7,Реестр!$L:$L,"⚠ сирота")</f>
        <v/>
      </c>
      <c r="H7" s="29">
        <f>COUNTIFS(Реестр!$B:$B,A7,Реестр!$L:$L,"⚠ тупик")</f>
        <v/>
      </c>
      <c r="I7" s="29">
        <f>COUNTIFS(Реестр!$B:$B,A7,Реестр!$I:$I,"Не сверено")</f>
        <v/>
      </c>
    </row>
    <row r="8" ht="15" customHeight="1" s="13">
      <c r="A8" s="27" t="inlineStr">
        <is>
          <t>DS</t>
        </is>
      </c>
      <c r="B8" s="29">
        <f>COUNTIF(Реестр!$B:$B,A8)</f>
        <v/>
      </c>
      <c r="C8" s="29">
        <f>COUNTIF(Связи!$B:$B,A8)</f>
        <v/>
      </c>
      <c r="D8" s="29">
        <f>COUNTIFS(Связи!$B:$B,A8,Связи!$J:$J,"Связано")</f>
        <v/>
      </c>
      <c r="E8" s="29">
        <f>COUNTIFS(Связи!$B:$B,A8,Связи!$J:$J,"Нет элемента")</f>
        <v/>
      </c>
      <c r="F8" s="29">
        <f>COUNTIFS(Связи!$B:$B,A8,Связи!$J:$J,"Требует решения")</f>
        <v/>
      </c>
      <c r="G8" s="29">
        <f>COUNTIFS(Реестр!$B:$B,A8,Реестр!$L:$L,"⚠ сирота")</f>
        <v/>
      </c>
      <c r="H8" s="29">
        <f>COUNTIFS(Реестр!$B:$B,A8,Реестр!$L:$L,"⚠ тупик")</f>
        <v/>
      </c>
      <c r="I8" s="29">
        <f>COUNTIFS(Реестр!$B:$B,A8,Реестр!$I:$I,"Не сверено")</f>
        <v/>
      </c>
    </row>
    <row r="9" ht="15" customHeight="1" s="13">
      <c r="A9" s="22" t="inlineStr">
        <is>
          <t>Итого</t>
        </is>
      </c>
      <c r="B9" s="23">
        <f>SUM(B2:B8)</f>
        <v/>
      </c>
      <c r="C9" s="23">
        <f>SUM(C2:C8)</f>
        <v/>
      </c>
      <c r="D9" s="23">
        <f>SUM(D2:D8)</f>
        <v/>
      </c>
      <c r="E9" s="23">
        <f>SUM(E2:E8)</f>
        <v/>
      </c>
      <c r="F9" s="23">
        <f>SUM(F2:F8)</f>
        <v/>
      </c>
      <c r="G9" s="23">
        <f>SUM(G2:G8)</f>
        <v/>
      </c>
      <c r="H9" s="23">
        <f>SUM(H2:H8)</f>
        <v/>
      </c>
      <c r="I9" s="23">
        <f>SUM(I2:I8)</f>
        <v/>
      </c>
    </row>
    <row r="10" ht="15" customHeight="1" s="13">
      <c r="A10" s="24" t="inlineStr">
        <is>
          <t>Навигация: пунктов всего</t>
        </is>
      </c>
      <c r="C10" s="24">
        <f>COUNTA(Навигация!$A:$A)-1</f>
        <v/>
      </c>
    </row>
    <row r="11" ht="15" customHeight="1" s="13">
      <c r="A11" s="24" t="inlineStr">
        <is>
          <t>Навигация: связано</t>
        </is>
      </c>
      <c r="C11" s="24">
        <f>COUNTIF(Навигация!$J:$J,"Связано")</f>
        <v/>
      </c>
    </row>
    <row r="12" ht="15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8" customWidth="1" style="12" min="2" max="2"/>
    <col width="40" customWidth="1" style="12" min="3" max="3"/>
    <col width="15" customWidth="1" style="12" min="4" max="4"/>
    <col width="14" customWidth="1" style="12" min="5" max="5"/>
    <col width="10" customWidth="1" style="12" min="6" max="6"/>
    <col width="11" customWidth="1" style="12" min="7" max="7"/>
    <col width="32" customWidth="1" style="12" min="8" max="8"/>
    <col width="16" customWidth="1" style="12" min="9" max="9"/>
    <col width="11" customWidth="1" style="12" min="10" max="11"/>
    <col width="24" customWidth="1" style="12" min="12" max="12"/>
    <col width="40" customWidth="1" style="12" min="13" max="13"/>
    <col width="60" customWidth="1" style="13" min="14" max="14"/>
  </cols>
  <sheetData>
    <row r="1" ht="31.5" customHeight="1" s="13">
      <c r="A1" s="25" t="inlineStr">
        <is>
          <t>ID</t>
        </is>
      </c>
      <c r="B1" s="25" t="inlineStr">
        <is>
          <t>Блок</t>
        </is>
      </c>
      <c r="C1" s="25" t="inlineStr">
        <is>
          <t>Название (ожидаемое)</t>
        </is>
      </c>
      <c r="D1" s="25" t="inlineStr">
        <is>
          <t>Тип</t>
        </is>
      </c>
      <c r="E1" s="25" t="inlineStr">
        <is>
          <t>Роль</t>
        </is>
      </c>
      <c r="F1" s="25" t="inlineStr">
        <is>
          <t>Родитель</t>
        </is>
      </c>
      <c r="G1" s="25" t="inlineStr">
        <is>
          <t>Навигация</t>
        </is>
      </c>
      <c r="H1" s="25" t="inlineStr">
        <is>
          <t>Название в проекте</t>
        </is>
      </c>
      <c r="I1" s="25" t="inlineStr">
        <is>
          <t>Сверка</t>
        </is>
      </c>
      <c r="J1" s="25" t="inlineStr">
        <is>
          <t>Исходящих</t>
        </is>
      </c>
      <c r="K1" s="25" t="inlineStr">
        <is>
          <t>Входящих</t>
        </is>
      </c>
      <c r="L1" s="25" t="inlineStr">
        <is>
          <t>Проверка</t>
        </is>
      </c>
      <c r="M1" s="25" t="inlineStr">
        <is>
          <t>Примечание</t>
        </is>
      </c>
      <c r="N1" s="25" t="inlineStr">
        <is>
          <t>Комментарий сверки</t>
        </is>
      </c>
    </row>
    <row r="2" ht="35.05" customHeight="1" s="13">
      <c r="A2" s="27" t="inlineStr">
        <is>
          <t>PUB-01</t>
        </is>
      </c>
      <c r="B2" s="27" t="inlineStr">
        <is>
          <t>PUB</t>
        </is>
      </c>
      <c r="C2" s="27" t="inlineStr">
        <is>
          <t>Лендинг (секции: Услуги, Как это работает, Мастера, Работы, Контакты, Отзывы, Призыв записаться)</t>
        </is>
      </c>
      <c r="D2" s="27" t="inlineStr">
        <is>
          <t>Страница</t>
        </is>
      </c>
      <c r="E2" s="27" t="inlineStr">
        <is>
          <t>Клиент</t>
        </is>
      </c>
      <c r="F2" s="27" t="n"/>
      <c r="G2" s="27" t="inlineStr">
        <is>
          <t>NAV-LAND</t>
        </is>
      </c>
      <c r="H2" s="28" t="inlineStr">
        <is>
          <t>Лендинг - Ноготочки.dc.html</t>
        </is>
      </c>
      <c r="I2" s="28" t="inlineStr">
        <is>
          <t>Совпадает</t>
        </is>
      </c>
      <c r="J2" s="29">
        <f>COUNTIF(Связи!$C:$C,A2)+IF(G2="",0,COUNTIF(Навигация!$B:$B,G2))</f>
        <v/>
      </c>
      <c r="K2" s="29">
        <f>COUNTIF(Связи!$G:$G,A2)+COUNTIF(Навигация!$F:$F,A2)</f>
        <v/>
      </c>
      <c r="L2" s="29">
        <f>IF(D2="Дизайн-система","вне графа",IF(AND(K2=0,OR(D2="Состояние",D2="Служебная")),"демо / вход по событию",IF(K2=0,"⚠ сирота",IF(J2=0,"⚠ тупик","ок"))))</f>
        <v/>
      </c>
      <c r="M2" s="27" t="inlineStr">
        <is>
          <t>Точка входа клиента. Якорное меню, отдельных страниц секций нет</t>
        </is>
      </c>
      <c r="N2" s="27" t="inlineStr">
        <is>
          <t>Отдельный файл. Секции: первый экран, полоса доверия, как это работает, услуги, мастера, галерея работ, отзывы (только отзывы-цитаты, без формы), контакты, финальный призыв, подвал</t>
        </is>
      </c>
    </row>
    <row r="3" ht="23.85" customHeight="1" s="13">
      <c r="A3" s="27" t="inlineStr">
        <is>
          <t>PUB-05</t>
        </is>
      </c>
      <c r="B3" s="27" t="inlineStr">
        <is>
          <t>PUB</t>
        </is>
      </c>
      <c r="C3" s="27" t="inlineStr">
        <is>
          <t>Профиль мастера (публичный)</t>
        </is>
      </c>
      <c r="D3" s="27" t="inlineStr">
        <is>
          <t>Страница</t>
        </is>
      </c>
      <c r="E3" s="27" t="inlineStr">
        <is>
          <t>Клиент</t>
        </is>
      </c>
      <c r="F3" s="27" t="n"/>
      <c r="G3" s="27" t="inlineStr">
        <is>
          <t>NAV-LAND</t>
        </is>
      </c>
      <c r="H3" s="28" t="inlineStr">
        <is>
          <t>#/masters/:id · «Профиль мастера»</t>
        </is>
      </c>
      <c r="I3" s="28" t="inlineStr">
        <is>
          <t>Совпадает</t>
        </is>
      </c>
      <c r="J3" s="29">
        <f>COUNTIF(Связи!$C:$C,A3)+IF(G3="",0,COUNTIF(Навигация!$B:$B,G3))</f>
        <v/>
      </c>
      <c r="K3" s="29">
        <f>COUNTIF(Связи!$G:$G,A3)+COUNTIF(Навигация!$F:$F,A3)</f>
        <v/>
      </c>
      <c r="L3" s="29">
        <f>IF(D3="Дизайн-система","вне графа",IF(AND(K3=0,OR(D3="Состояние",D3="Служебная")),"демо / вход по событию",IF(K3=0,"⚠ сирота",IF(J3=0,"⚠ тупик","ок"))))</f>
        <v/>
      </c>
      <c r="M3" s="27" t="inlineStr">
        <is>
          <t>Единственная внутренняя страница публичной части</t>
        </is>
      </c>
      <c r="N3" s="27" t="inlineStr">
        <is>
          <t>Своя простая шапка: «← Назад» и логотип. Шапки лендинга с якорями нет · 25.09.2026: блок «Работы мастера» — опубликованные фото из A-12; цены по уровню мастера</t>
        </is>
      </c>
    </row>
    <row r="4" ht="15" customHeight="1" s="13">
      <c r="A4" s="27" t="inlineStr">
        <is>
          <t>AUTH-01</t>
        </is>
      </c>
      <c r="B4" s="27" t="inlineStr">
        <is>
          <t>AUTH</t>
        </is>
      </c>
      <c r="C4" s="27" t="inlineStr">
        <is>
          <t>Вход клиента (телефон или e-mail и пароль; вход по коду из SMS)</t>
        </is>
      </c>
      <c r="D4" s="27" t="inlineStr">
        <is>
          <t>Страница</t>
        </is>
      </c>
      <c r="E4" s="27" t="inlineStr">
        <is>
          <t>Клиент</t>
        </is>
      </c>
      <c r="F4" s="27" t="n"/>
      <c r="G4" s="27" t="n"/>
      <c r="H4" s="28" t="inlineStr">
        <is>
          <t>#/login · «Вход»</t>
        </is>
      </c>
      <c r="I4" s="28" t="inlineStr">
        <is>
          <t>Совпадает</t>
        </is>
      </c>
      <c r="J4" s="29">
        <f>COUNTIF(Связи!$C:$C,A4)+IF(G4="",0,COUNTIF(Навигация!$B:$B,G4))</f>
        <v/>
      </c>
      <c r="K4" s="29">
        <f>COUNTIF(Связи!$G:$G,A4)+COUNTIF(Навигация!$F:$F,A4)</f>
        <v/>
      </c>
      <c r="L4" s="29">
        <f>IF(D4="Дизайн-система","вне графа",IF(AND(K4=0,OR(D4="Состояние",D4="Служебная")),"демо / вход по событию",IF(K4=0,"⚠ сирота",IF(J4=0,"⚠ тупик","ок"))))</f>
        <v/>
      </c>
      <c r="M4" s="27" t="inlineStr">
        <is>
          <t>Сверить</t>
        </is>
      </c>
      <c r="N4" s="27" t="inlineStr">
        <is>
          <t>Вход по телефону или e-mail и паролю (как в паспорте), а не по коду. Код из SMS — ссылкой «Войти по коду из SMS» · 25.09.2026: ожидаемое название приведено к схеме БД — вход по телефону или e-mail и паролю (users.phone, users.email, users.password_hash)</t>
        </is>
      </c>
    </row>
    <row r="5" ht="15" customHeight="1" s="13">
      <c r="A5" s="27" t="inlineStr">
        <is>
          <t>AUTH-02</t>
        </is>
      </c>
      <c r="B5" s="27" t="inlineStr">
        <is>
          <t>AUTH</t>
        </is>
      </c>
      <c r="C5" s="27" t="inlineStr">
        <is>
          <t>Подтверждение кодом (телефон, e-mail, вход по коду, сброс пароля)</t>
        </is>
      </c>
      <c r="D5" s="27" t="inlineStr">
        <is>
          <t>Страница</t>
        </is>
      </c>
      <c r="E5" s="27" t="inlineStr">
        <is>
          <t>Клиент</t>
        </is>
      </c>
      <c r="F5" s="27" t="n"/>
      <c r="G5" s="27" t="n"/>
      <c r="H5" s="28" t="inlineStr">
        <is>
          <t>#/verify · «Подтверждение телефона»</t>
        </is>
      </c>
      <c r="I5" s="28" t="inlineStr">
        <is>
          <t>Совпадает</t>
        </is>
      </c>
      <c r="J5" s="29">
        <f>COUNTIF(Связи!$C:$C,A5)+IF(G5="",0,COUNTIF(Навигация!$B:$B,G5))</f>
        <v/>
      </c>
      <c r="K5" s="29">
        <f>COUNTIF(Связи!$G:$G,A5)+COUNTIF(Навигация!$F:$F,A5)</f>
        <v/>
      </c>
      <c r="L5" s="29">
        <f>IF(D5="Дизайн-система","вне графа",IF(AND(K5=0,OR(D5="Состояние",D5="Служебная")),"демо / вход по событию",IF(K5=0,"⚠ сирота",IF(J5=0,"⚠ тупик","ок"))))</f>
        <v/>
      </c>
      <c r="M5" s="27" t="inlineStr">
        <is>
          <t>Сверить</t>
        </is>
      </c>
      <c r="N5" s="27" t="inlineStr">
        <is>
          <t>Один экран кода на все случаи: регистрация, вход по SMS, вход сотрудника, восстановление пароля. Код в демо — 1234 · 25.09.2026: ожидаемое название приведено к схеме БД — одноразовые коды хранятся хешем (auth_codes)</t>
        </is>
      </c>
    </row>
    <row r="6" ht="15" customHeight="1" s="13">
      <c r="A6" s="27" t="inlineStr">
        <is>
          <t>AUTH-03</t>
        </is>
      </c>
      <c r="B6" s="27" t="inlineStr">
        <is>
          <t>AUTH</t>
        </is>
      </c>
      <c r="C6" s="27" t="inlineStr">
        <is>
          <t>Регистрация (имя, телефон, e-mail, пароль, согласия)</t>
        </is>
      </c>
      <c r="D6" s="27" t="inlineStr">
        <is>
          <t>Страница</t>
        </is>
      </c>
      <c r="E6" s="27" t="inlineStr">
        <is>
          <t>Клиент</t>
        </is>
      </c>
      <c r="F6" s="27" t="n"/>
      <c r="G6" s="27" t="n"/>
      <c r="H6" s="28" t="inlineStr">
        <is>
          <t>#/register · «Регистрация»</t>
        </is>
      </c>
      <c r="I6" s="28" t="inlineStr">
        <is>
          <t>Совпадает</t>
        </is>
      </c>
      <c r="J6" s="29">
        <f>COUNTIF(Связи!$C:$C,A6)+IF(G6="",0,COUNTIF(Навигация!$B:$B,G6))</f>
        <v/>
      </c>
      <c r="K6" s="29">
        <f>COUNTIF(Связи!$G:$G,A6)+COUNTIF(Навигация!$F:$F,A6)</f>
        <v/>
      </c>
      <c r="L6" s="29">
        <f>IF(D6="Дизайн-система","вне графа",IF(AND(K6=0,OR(D6="Состояние",D6="Служебная")),"демо / вход по событию",IF(K6=0,"⚠ сирота",IF(J6=0,"⚠ тупик","ок"))))</f>
        <v/>
      </c>
      <c r="M6" s="27" t="inlineStr">
        <is>
          <t>Сверить</t>
        </is>
      </c>
      <c r="N6" s="27" t="inlineStr">
        <is>
          <t>Порядок обратный карте: сначала регистрация (имя, телефон, e-mail, пароль, согласие на обработку ПДн), потом код AUTH-02 · 25.09.2026: ожидаемое название приведено к схеме БД — согласие на обработку ПДн с редакцией политики, согласие на новости (users.pd_consent_*, marketing_consent_at)</t>
        </is>
      </c>
    </row>
    <row r="7" ht="15" customHeight="1" s="13">
      <c r="A7" s="27" t="inlineStr">
        <is>
          <t>AUTH-04</t>
        </is>
      </c>
      <c r="B7" s="27" t="inlineStr">
        <is>
          <t>AUTH</t>
        </is>
      </c>
      <c r="C7" s="27" t="inlineStr">
        <is>
          <t>Вход сотрудника</t>
        </is>
      </c>
      <c r="D7" s="27" t="inlineStr">
        <is>
          <t>Страница</t>
        </is>
      </c>
      <c r="E7" s="27" t="inlineStr">
        <is>
          <t>Сотрудник</t>
        </is>
      </c>
      <c r="F7" s="27" t="n"/>
      <c r="G7" s="27" t="n"/>
      <c r="H7" s="28" t="inlineStr">
        <is>
          <t>#/staff/login · «Сотрудники · вход»</t>
        </is>
      </c>
      <c r="I7" s="28" t="inlineStr">
        <is>
          <t>Совпадает</t>
        </is>
      </c>
      <c r="J7" s="29">
        <f>COUNTIF(Связи!$C:$C,A7)+IF(G7="",0,COUNTIF(Навигация!$B:$B,G7))</f>
        <v/>
      </c>
      <c r="K7" s="29">
        <f>COUNTIF(Связи!$G:$G,A7)+COUNTIF(Навигация!$F:$F,A7)</f>
        <v/>
      </c>
      <c r="L7" s="29">
        <f>IF(D7="Дизайн-система","вне графа",IF(AND(K7=0,OR(D7="Состояние",D7="Служебная")),"демо / вход по событию",IF(K7=0,"⚠ сирота",IF(J7=0,"⚠ тупик","ок"))))</f>
        <v/>
      </c>
      <c r="M7" s="27" t="inlineStr">
        <is>
          <t>Точка входа сотрудников</t>
        </is>
      </c>
      <c r="N7" s="27" t="inlineStr">
        <is>
          <t>Вход только в раздел администратора</t>
        </is>
      </c>
    </row>
    <row r="8" ht="15" customHeight="1" s="13">
      <c r="A8" s="27" t="inlineStr">
        <is>
          <t>AUTH-06</t>
        </is>
      </c>
      <c r="B8" s="27" t="inlineStr">
        <is>
          <t>AUTH</t>
        </is>
      </c>
      <c r="C8" s="27" t="inlineStr">
        <is>
          <t>Восстановление пароля</t>
        </is>
      </c>
      <c r="D8" s="27" t="inlineStr">
        <is>
          <t>Страница</t>
        </is>
      </c>
      <c r="E8" s="27" t="inlineStr">
        <is>
          <t>Сотрудник</t>
        </is>
      </c>
      <c r="F8" s="27" t="n"/>
      <c r="G8" s="27" t="n"/>
      <c r="H8" s="28" t="inlineStr">
        <is>
          <t>#/forgot-password · «Забыли пароль»</t>
        </is>
      </c>
      <c r="I8" s="28" t="inlineStr">
        <is>
          <t>Совпадает</t>
        </is>
      </c>
      <c r="J8" s="29">
        <f>COUNTIF(Связи!$C:$C,A8)+IF(G8="",0,COUNTIF(Навигация!$B:$B,G8))</f>
        <v/>
      </c>
      <c r="K8" s="29">
        <f>COUNTIF(Связи!$G:$G,A8)+COUNTIF(Навигация!$F:$F,A8)</f>
        <v/>
      </c>
      <c r="L8" s="29">
        <f>IF(D8="Дизайн-система","вне графа",IF(AND(K8=0,OR(D8="Состояние",D8="Служебная")),"демо / вход по событию",IF(K8=0,"⚠ сирота",IF(J8=0,"⚠ тупик","ок"))))</f>
        <v/>
      </c>
      <c r="M8" s="27" t="n"/>
      <c r="N8" s="27" t="inlineStr">
        <is>
          <t>Общий для клиента и сотрудника (запоминает, откуда пришли)</t>
        </is>
      </c>
    </row>
    <row r="9" ht="15" customHeight="1" s="13">
      <c r="A9" s="27" t="inlineStr">
        <is>
          <t>BOOK-01</t>
        </is>
      </c>
      <c r="B9" s="27" t="inlineStr">
        <is>
          <t>BOOK</t>
        </is>
      </c>
      <c r="C9" s="27" t="inlineStr">
        <is>
          <t>Шаг 1. Услуги (мультивыбор, корзина визита)</t>
        </is>
      </c>
      <c r="D9" s="27" t="inlineStr">
        <is>
          <t>Страница</t>
        </is>
      </c>
      <c r="E9" s="27" t="inlineStr">
        <is>
          <t>Клиент</t>
        </is>
      </c>
      <c r="F9" s="27" t="n"/>
      <c r="G9" s="27" t="inlineStr">
        <is>
          <t>NAV-BOOK</t>
        </is>
      </c>
      <c r="H9" s="28" t="inlineStr">
        <is>
          <t>#/booking/services · «Запись · услуги»</t>
        </is>
      </c>
      <c r="I9" s="28" t="inlineStr">
        <is>
          <t>Совпадает</t>
        </is>
      </c>
      <c r="J9" s="29">
        <f>COUNTIF(Связи!$C:$C,A9)+IF(G9="",0,COUNTIF(Навигация!$B:$B,G9))</f>
        <v/>
      </c>
      <c r="K9" s="29">
        <f>COUNTIF(Связи!$G:$G,A9)+COUNTIF(Навигация!$F:$F,A9)</f>
        <v/>
      </c>
      <c r="L9" s="29">
        <f>IF(D9="Дизайн-система","вне графа",IF(AND(K9=0,OR(D9="Состояние",D9="Служебная")),"демо / вход по событию",IF(K9=0,"⚠ сирота",IF(J9=0,"⚠ тупик","ок"))))</f>
        <v/>
      </c>
      <c r="M9" s="27" t="inlineStr">
        <is>
          <t>Если вход из профиля мастера — мастер уже выбран</t>
        </is>
      </c>
      <c r="N9" s="27" t="inlineStr">
        <is>
          <t>Мультивыбор, поиск, категории, плашка корзины внизу. Если пришли от мастера — «Услуги мастера …»</t>
        </is>
      </c>
    </row>
    <row r="10" ht="15" customHeight="1" s="13">
      <c r="A10" s="27" t="inlineStr">
        <is>
          <t>BOOK-02</t>
        </is>
      </c>
      <c r="B10" s="27" t="inlineStr">
        <is>
          <t>BOOK</t>
        </is>
      </c>
      <c r="C10" s="27" t="inlineStr">
        <is>
          <t>Шаг 2. Мастер</t>
        </is>
      </c>
      <c r="D10" s="27" t="inlineStr">
        <is>
          <t>Страница</t>
        </is>
      </c>
      <c r="E10" s="27" t="inlineStr">
        <is>
          <t>Клиент</t>
        </is>
      </c>
      <c r="F10" s="27" t="n"/>
      <c r="G10" s="27" t="inlineStr">
        <is>
          <t>NAV-BOOK</t>
        </is>
      </c>
      <c r="H10" s="28" t="inlineStr">
        <is>
          <t>#/booking/master · «Запись · мастер»</t>
        </is>
      </c>
      <c r="I10" s="28" t="inlineStr">
        <is>
          <t>Совпадает</t>
        </is>
      </c>
      <c r="J10" s="29">
        <f>COUNTIF(Связи!$C:$C,A10)+IF(G10="",0,COUNTIF(Навигация!$B:$B,G10))</f>
        <v/>
      </c>
      <c r="K10" s="29">
        <f>COUNTIF(Связи!$G:$G,A10)+COUNTIF(Навигация!$F:$F,A10)</f>
        <v/>
      </c>
      <c r="L10" s="29">
        <f>IF(D10="Дизайн-система","вне графа",IF(AND(K10=0,OR(D10="Состояние",D10="Служебная")),"демо / вход по событию",IF(K10=0,"⚠ сирота",IF(J10=0,"⚠ тупик","ок"))))</f>
        <v/>
      </c>
      <c r="M10" s="27" t="n"/>
      <c r="N10" s="27" t="inlineStr">
        <is>
          <t>Есть «Любой свободный мастер» и блок «Не подходят для этого визита»</t>
        </is>
      </c>
    </row>
    <row r="11" ht="23.85" customHeight="1" s="13">
      <c r="A11" s="27" t="inlineStr">
        <is>
          <t>BOOK-03</t>
        </is>
      </c>
      <c r="B11" s="27" t="inlineStr">
        <is>
          <t>BOOK</t>
        </is>
      </c>
      <c r="C11" s="27" t="inlineStr">
        <is>
          <t>Шаг 3. Время</t>
        </is>
      </c>
      <c r="D11" s="27" t="inlineStr">
        <is>
          <t>Страница</t>
        </is>
      </c>
      <c r="E11" s="27" t="inlineStr">
        <is>
          <t>Клиент</t>
        </is>
      </c>
      <c r="F11" s="27" t="n"/>
      <c r="G11" s="27" t="inlineStr">
        <is>
          <t>NAV-BOOK</t>
        </is>
      </c>
      <c r="H11" s="28" t="inlineStr">
        <is>
          <t>#/booking/time · «Запись · дата и время»</t>
        </is>
      </c>
      <c r="I11" s="28" t="inlineStr">
        <is>
          <t>Совпадает</t>
        </is>
      </c>
      <c r="J11" s="29">
        <f>COUNTIF(Связи!$C:$C,A11)+IF(G11="",0,COUNTIF(Навигация!$B:$B,G11))</f>
        <v/>
      </c>
      <c r="K11" s="29">
        <f>COUNTIF(Связи!$G:$G,A11)+COUNTIF(Навигация!$F:$F,A11)</f>
        <v/>
      </c>
      <c r="L11" s="29">
        <f>IF(D11="Дизайн-система","вне графа",IF(AND(K11=0,OR(D11="Состояние",D11="Служебная")),"демо / вход по событию",IF(K11=0,"⚠ сирота",IF(J11=0,"⚠ тупик","ок"))))</f>
        <v/>
      </c>
      <c r="M11" s="27" t="inlineStr">
        <is>
          <t>Есть вход в лист ожидания</t>
        </is>
      </c>
      <c r="N11" s="27" t="inlineStr">
        <is>
          <t>Лента дней + календарь на месяц, «Ближайшее свободное время», кнопка «Продолжить». Листа ожидания нет</t>
        </is>
      </c>
    </row>
    <row r="12" ht="15" customHeight="1" s="13">
      <c r="A12" s="27" t="inlineStr">
        <is>
          <t>BOOK-04</t>
        </is>
      </c>
      <c r="B12" s="27" t="inlineStr">
        <is>
          <t>BOOK</t>
        </is>
      </c>
      <c r="C12" s="27" t="inlineStr">
        <is>
          <t>Шаг 4. Подтверждение</t>
        </is>
      </c>
      <c r="D12" s="27" t="inlineStr">
        <is>
          <t>Страница</t>
        </is>
      </c>
      <c r="E12" s="27" t="inlineStr">
        <is>
          <t>Клиент</t>
        </is>
      </c>
      <c r="F12" s="27" t="n"/>
      <c r="G12" s="27" t="inlineStr">
        <is>
          <t>NAV-BOOK</t>
        </is>
      </c>
      <c r="H12" s="28" t="inlineStr">
        <is>
          <t>#/booking/confirm · «Запись · подтверждение»</t>
        </is>
      </c>
      <c r="I12" s="28" t="inlineStr">
        <is>
          <t>Совпадает</t>
        </is>
      </c>
      <c r="J12" s="29">
        <f>COUNTIF(Связи!$C:$C,A12)+IF(G12="",0,COUNTIF(Навигация!$B:$B,G12))</f>
        <v/>
      </c>
      <c r="K12" s="29">
        <f>COUNTIF(Связи!$G:$G,A12)+COUNTIF(Навигация!$F:$F,A12)</f>
        <v/>
      </c>
      <c r="L12" s="29">
        <f>IF(D12="Дизайн-система","вне графа",IF(AND(K12=0,OR(D12="Состояние",D12="Служебная")),"демо / вход по событию",IF(K12=0,"⚠ сирота",IF(J12=0,"⚠ тупик","ок"))))</f>
        <v/>
      </c>
      <c r="M12" s="27" t="n"/>
      <c r="N12" s="27" t="inlineStr">
        <is>
          <t>Удержание слота 10 минут, комментарий мастеру, «Оплата в студии»</t>
        </is>
      </c>
    </row>
    <row r="13" ht="15" customHeight="1" s="13">
      <c r="A13" s="27" t="inlineStr">
        <is>
          <t>BOOK-05</t>
        </is>
      </c>
      <c r="B13" s="27" t="inlineStr">
        <is>
          <t>BOOK</t>
        </is>
      </c>
      <c r="C13" s="27" t="inlineStr">
        <is>
          <t>Успех</t>
        </is>
      </c>
      <c r="D13" s="27" t="inlineStr">
        <is>
          <t>Страница</t>
        </is>
      </c>
      <c r="E13" s="27" t="inlineStr">
        <is>
          <t>Клиент</t>
        </is>
      </c>
      <c r="F13" s="27" t="n"/>
      <c r="G13" s="27" t="n"/>
      <c r="H13" s="28" t="inlineStr">
        <is>
          <t>#/booking/success · «Запись · успех»</t>
        </is>
      </c>
      <c r="I13" s="28" t="inlineStr">
        <is>
          <t>Совпадает</t>
        </is>
      </c>
      <c r="J13" s="29">
        <f>COUNTIF(Связи!$C:$C,A13)+IF(G13="",0,COUNTIF(Навигация!$B:$B,G13))</f>
        <v/>
      </c>
      <c r="K13" s="29">
        <f>COUNTIF(Связи!$G:$G,A13)+COUNTIF(Навигация!$F:$F,A13)</f>
        <v/>
      </c>
      <c r="L13" s="29">
        <f>IF(D13="Дизайн-система","вне графа",IF(AND(K13=0,OR(D13="Состояние",D13="Служебная")),"демо / вход по событию",IF(K13=0,"⚠ сирота",IF(J13=0,"⚠ тупик","ок"))))</f>
        <v/>
      </c>
      <c r="M13" s="27" t="inlineStr">
        <is>
          <t>Итоговый экран записи</t>
        </is>
      </c>
      <c r="N13" s="27" t="n"/>
    </row>
    <row r="14" ht="15" customHeight="1" s="13">
      <c r="A14" s="27" t="inlineStr">
        <is>
          <t>BOOK-06</t>
        </is>
      </c>
      <c r="B14" s="27" t="inlineStr">
        <is>
          <t>BOOK</t>
        </is>
      </c>
      <c r="C14" s="27" t="inlineStr">
        <is>
          <t>Ошибка</t>
        </is>
      </c>
      <c r="D14" s="27" t="inlineStr">
        <is>
          <t>Страница</t>
        </is>
      </c>
      <c r="E14" s="27" t="inlineStr">
        <is>
          <t>Клиент</t>
        </is>
      </c>
      <c r="F14" s="27" t="n"/>
      <c r="G14" s="27" t="n"/>
      <c r="H14" s="28" t="inlineStr">
        <is>
          <t>#/booking/error · «Запись · ошибка»</t>
        </is>
      </c>
      <c r="I14" s="28" t="inlineStr">
        <is>
          <t>Совпадает</t>
        </is>
      </c>
      <c r="J14" s="29">
        <f>COUNTIF(Связи!$C:$C,A14)+IF(G14="",0,COUNTIF(Навигация!$B:$B,G14))</f>
        <v/>
      </c>
      <c r="K14" s="29">
        <f>COUNTIF(Связи!$G:$G,A14)+COUNTIF(Навигация!$F:$F,A14)</f>
        <v/>
      </c>
      <c r="L14" s="29">
        <f>IF(D14="Дизайн-система","вне графа",IF(AND(K14=0,OR(D14="Состояние",D14="Служебная")),"демо / вход по событию",IF(K14=0,"⚠ сирота",IF(J14=0,"⚠ тупик","ок"))))</f>
        <v/>
      </c>
      <c r="M14" s="27" t="inlineStr">
        <is>
          <t>Итоговый экран записи</t>
        </is>
      </c>
      <c r="N14" s="27" t="inlineStr">
        <is>
          <t>Сценарий «Ошибка сервера» в панели разработчика</t>
        </is>
      </c>
    </row>
    <row r="15" ht="15" customHeight="1" s="13">
      <c r="A15" s="27" t="inlineStr">
        <is>
          <t>BOOK-M1</t>
        </is>
      </c>
      <c r="B15" s="27" t="inlineStr">
        <is>
          <t>BOOK</t>
        </is>
      </c>
      <c r="C15" s="27" t="inlineStr">
        <is>
          <t>Слот занят</t>
        </is>
      </c>
      <c r="D15" s="27" t="inlineStr">
        <is>
          <t>Модалка</t>
        </is>
      </c>
      <c r="E15" s="27" t="inlineStr">
        <is>
          <t>Клиент</t>
        </is>
      </c>
      <c r="F15" s="27" t="inlineStr">
        <is>
          <t>BOOK-03</t>
        </is>
      </c>
      <c r="G15" s="27" t="n"/>
      <c r="H15" s="28" t="inlineStr">
        <is>
          <t>Модалка «Это время только что заняли»</t>
        </is>
      </c>
      <c r="I15" s="28" t="inlineStr">
        <is>
          <t>Совпадает</t>
        </is>
      </c>
      <c r="J15" s="29">
        <f>COUNTIF(Связи!$C:$C,A15)+IF(G15="",0,COUNTIF(Навигация!$B:$B,G15))</f>
        <v/>
      </c>
      <c r="K15" s="29">
        <f>COUNTIF(Связи!$G:$G,A15)+COUNTIF(Навигация!$F:$F,A15)</f>
        <v/>
      </c>
      <c r="L15" s="29">
        <f>IF(D15="Дизайн-система","вне графа",IF(AND(K15=0,OR(D15="Состояние",D15="Служебная")),"демо / вход по событию",IF(K15=0,"⚠ сирота",IF(J15=0,"⚠ тупик","ок"))))</f>
        <v/>
      </c>
      <c r="M15" s="27" t="inlineStr">
        <is>
          <t>Сверить: возможно, заменён листом ожидания</t>
        </is>
      </c>
      <c r="N15" s="27" t="inlineStr">
        <is>
          <t>Открывается с BOOK-04 при подтверждении (сценарий «Слот заняли»), а не с BOOK-03. Родитель — BOOK-04</t>
        </is>
      </c>
    </row>
    <row r="16" ht="15" customHeight="1" s="13">
      <c r="A16" s="27" t="inlineStr">
        <is>
          <t>CAB-01</t>
        </is>
      </c>
      <c r="B16" s="27" t="inlineStr">
        <is>
          <t>CAB</t>
        </is>
      </c>
      <c r="C16" s="27" t="inlineStr">
        <is>
          <t>Мои записи</t>
        </is>
      </c>
      <c r="D16" s="27" t="inlineStr">
        <is>
          <t>Страница</t>
        </is>
      </c>
      <c r="E16" s="27" t="inlineStr">
        <is>
          <t>Клиент</t>
        </is>
      </c>
      <c r="F16" s="27" t="n"/>
      <c r="G16" s="27" t="inlineStr">
        <is>
          <t>NAV-CAB</t>
        </is>
      </c>
      <c r="H16" s="28" t="inlineStr">
        <is>
          <t>#/account · «Личный кабинет» (пункт меню «Мои записи»)</t>
        </is>
      </c>
      <c r="I16" s="28" t="inlineStr">
        <is>
          <t>Совпадает</t>
        </is>
      </c>
      <c r="J16" s="29">
        <f>COUNTIF(Связи!$C:$C,A16)+IF(G16="",0,COUNTIF(Навигация!$B:$B,G16))</f>
        <v/>
      </c>
      <c r="K16" s="29">
        <f>COUNTIF(Связи!$G:$G,A16)+COUNTIF(Навигация!$F:$F,A16)</f>
        <v/>
      </c>
      <c r="L16" s="29">
        <f>IF(D16="Дизайн-система","вне графа",IF(AND(K16=0,OR(D16="Состояние",D16="Служебная")),"демо / вход по событию",IF(K16=0,"⚠ сирота",IF(J16=0,"⚠ тупик","ок"))))</f>
        <v/>
      </c>
      <c r="M16" s="27" t="n"/>
      <c r="N16" s="27" t="inlineStr">
        <is>
          <t>Ближайшая запись с кнопками «Перенести»/«Отменить», остальные предстоящие, пустые состояния</t>
        </is>
      </c>
    </row>
    <row r="17" ht="15" customHeight="1" s="13">
      <c r="A17" s="27" t="inlineStr">
        <is>
          <t>CAB-02</t>
        </is>
      </c>
      <c r="B17" s="27" t="inlineStr">
        <is>
          <t>CAB</t>
        </is>
      </c>
      <c r="C17" s="27" t="inlineStr">
        <is>
          <t>История</t>
        </is>
      </c>
      <c r="D17" s="27" t="inlineStr">
        <is>
          <t>Страница</t>
        </is>
      </c>
      <c r="E17" s="27" t="inlineStr">
        <is>
          <t>Клиент</t>
        </is>
      </c>
      <c r="F17" s="27" t="n"/>
      <c r="G17" s="27" t="inlineStr">
        <is>
          <t>NAV-CAB</t>
        </is>
      </c>
      <c r="H17" s="28" t="inlineStr">
        <is>
          <t>#/account/history · «Кабинет · история»</t>
        </is>
      </c>
      <c r="I17" s="28" t="inlineStr">
        <is>
          <t>Совпадает</t>
        </is>
      </c>
      <c r="J17" s="29">
        <f>COUNTIF(Связи!$C:$C,A17)+IF(G17="",0,COUNTIF(Навигация!$B:$B,G17))</f>
        <v/>
      </c>
      <c r="K17" s="29">
        <f>COUNTIF(Связи!$G:$G,A17)+COUNTIF(Навигация!$F:$F,A17)</f>
        <v/>
      </c>
      <c r="L17" s="29">
        <f>IF(D17="Дизайн-система","вне графа",IF(AND(K17=0,OR(D17="Состояние",D17="Служебная")),"демо / вход по событию",IF(K17=0,"⚠ сирота",IF(J17=0,"⚠ тупик","ок"))))</f>
        <v/>
      </c>
      <c r="M17" s="27" t="n"/>
      <c r="N17" s="27" t="inlineStr">
        <is>
          <t>Фильтры, «Повторить», «Подробнее». Отзыва нет</t>
        </is>
      </c>
    </row>
    <row r="18" ht="23.85" customHeight="1" s="13">
      <c r="A18" s="27" t="inlineStr">
        <is>
          <t>CAB-03</t>
        </is>
      </c>
      <c r="B18" s="27" t="inlineStr">
        <is>
          <t>CAB</t>
        </is>
      </c>
      <c r="C18" s="27" t="inlineStr">
        <is>
          <t>Карточка записи</t>
        </is>
      </c>
      <c r="D18" s="27" t="inlineStr">
        <is>
          <t>Страница</t>
        </is>
      </c>
      <c r="E18" s="27" t="inlineStr">
        <is>
          <t>Клиент</t>
        </is>
      </c>
      <c r="F18" s="27" t="n"/>
      <c r="G18" s="27" t="inlineStr">
        <is>
          <t>NAV-CAB</t>
        </is>
      </c>
      <c r="H18" s="28" t="inlineStr">
        <is>
          <t>#/account/bookings/:id · «Кабинет · запись»</t>
        </is>
      </c>
      <c r="I18" s="28" t="inlineStr">
        <is>
          <t>Совпадает</t>
        </is>
      </c>
      <c r="J18" s="29">
        <f>COUNTIF(Связи!$C:$C,A18)+IF(G18="",0,COUNTIF(Навигация!$B:$B,G18))</f>
        <v/>
      </c>
      <c r="K18" s="29">
        <f>COUNTIF(Связи!$G:$G,A18)+COUNTIF(Навигация!$F:$F,A18)</f>
        <v/>
      </c>
      <c r="L18" s="29">
        <f>IF(D18="Дизайн-система","вне графа",IF(AND(K18=0,OR(D18="Состояние",D18="Служебная")),"демо / вход по событию",IF(K18=0,"⚠ сирота",IF(J18=0,"⚠ тупик","ок"))))</f>
        <v/>
      </c>
      <c r="M18" s="27" t="n"/>
      <c r="N18" s="27" t="inlineStr">
        <is>
          <t>Меньше 24 ч — кнопок нет, подсказка и «Позвонить в салон»</t>
        </is>
      </c>
    </row>
    <row r="19" ht="15" customHeight="1" s="13">
      <c r="A19" s="27" t="inlineStr">
        <is>
          <t>CAB-04</t>
        </is>
      </c>
      <c r="B19" s="27" t="inlineStr">
        <is>
          <t>CAB</t>
        </is>
      </c>
      <c r="C19" s="27" t="inlineStr">
        <is>
          <t>Перенос записи</t>
        </is>
      </c>
      <c r="D19" s="27" t="inlineStr">
        <is>
          <t>Страница</t>
        </is>
      </c>
      <c r="E19" s="27" t="inlineStr">
        <is>
          <t>Клиент</t>
        </is>
      </c>
      <c r="F19" s="27" t="inlineStr">
        <is>
          <t>CAB-03</t>
        </is>
      </c>
      <c r="G19" s="27" t="n"/>
      <c r="H19" s="28" t="inlineStr">
        <is>
          <t>#/account/bookings/:id/reschedule · «Кабинет · перенос записи»</t>
        </is>
      </c>
      <c r="I19" s="28" t="inlineStr">
        <is>
          <t>Совпадает</t>
        </is>
      </c>
      <c r="J19" s="29">
        <f>COUNTIF(Связи!$C:$C,A19)+IF(G19="",0,COUNTIF(Навигация!$B:$B,G19))</f>
        <v/>
      </c>
      <c r="K19" s="29">
        <f>COUNTIF(Связи!$G:$G,A19)+COUNTIF(Навигация!$F:$F,A19)</f>
        <v/>
      </c>
      <c r="L19" s="29">
        <f>IF(D19="Дизайн-система","вне графа",IF(AND(K19=0,OR(D19="Состояние",D19="Служебная")),"демо / вход по событию",IF(K19=0,"⚠ сирота",IF(J19=0,"⚠ тупик","ок"))))</f>
        <v/>
      </c>
      <c r="M19" s="27" t="inlineStr">
        <is>
          <t>Отдельная страница без меню кабинета</t>
        </is>
      </c>
      <c r="N19" s="27" t="inlineStr">
        <is>
          <t>Выбор времени → «Было → Стало» → «Запись перенесена»</t>
        </is>
      </c>
    </row>
    <row r="20" ht="15" customHeight="1" s="13">
      <c r="A20" s="27" t="inlineStr">
        <is>
          <t>CAB-05</t>
        </is>
      </c>
      <c r="B20" s="27" t="inlineStr">
        <is>
          <t>CAB</t>
        </is>
      </c>
      <c r="C20" s="27" t="inlineStr">
        <is>
          <t>Отмена записи</t>
        </is>
      </c>
      <c r="D20" s="27" t="inlineStr">
        <is>
          <t>Модалка</t>
        </is>
      </c>
      <c r="E20" s="27" t="inlineStr">
        <is>
          <t>Клиент</t>
        </is>
      </c>
      <c r="F20" s="27" t="inlineStr">
        <is>
          <t>CAB-03</t>
        </is>
      </c>
      <c r="G20" s="27" t="n"/>
      <c r="H20" s="28" t="inlineStr">
        <is>
          <t>Модалка «Отменить запись?»</t>
        </is>
      </c>
      <c r="I20" s="28" t="inlineStr">
        <is>
          <t>Совпадает</t>
        </is>
      </c>
      <c r="J20" s="29">
        <f>COUNTIF(Связи!$C:$C,A20)+IF(G20="",0,COUNTIF(Навигация!$B:$B,G20))</f>
        <v/>
      </c>
      <c r="K20" s="29">
        <f>COUNTIF(Связи!$G:$G,A20)+COUNTIF(Навигация!$F:$F,A20)</f>
        <v/>
      </c>
      <c r="L20" s="29">
        <f>IF(D20="Дизайн-система","вне графа",IF(AND(K20=0,OR(D20="Состояние",D20="Служебная")),"демо / вход по событию",IF(K20=0,"⚠ сирота",IF(J20=0,"⚠ тупик","ок"))))</f>
        <v/>
      </c>
      <c r="M20" s="27" t="n"/>
      <c r="N20" s="27" t="inlineStr">
        <is>
          <t>Причина отмены, «Может, перенести?», экран «Запись отменена» внутри модалки. Открывается с CAB-01 и CAB-03</t>
        </is>
      </c>
    </row>
    <row r="21" ht="15" customHeight="1" s="13">
      <c r="A21" s="27" t="inlineStr">
        <is>
          <t>CAB-07</t>
        </is>
      </c>
      <c r="B21" s="27" t="inlineStr">
        <is>
          <t>CAB</t>
        </is>
      </c>
      <c r="C21" s="27" t="inlineStr">
        <is>
          <t>Профиль</t>
        </is>
      </c>
      <c r="D21" s="27" t="inlineStr">
        <is>
          <t>Страница</t>
        </is>
      </c>
      <c r="E21" s="27" t="inlineStr">
        <is>
          <t>Клиент</t>
        </is>
      </c>
      <c r="F21" s="27" t="n"/>
      <c r="G21" s="27" t="inlineStr">
        <is>
          <t>NAV-CAB</t>
        </is>
      </c>
      <c r="H21" s="28" t="inlineStr">
        <is>
          <t>#/account/profile · «Кабинет · профиль»</t>
        </is>
      </c>
      <c r="I21" s="28" t="inlineStr">
        <is>
          <t>Совпадает</t>
        </is>
      </c>
      <c r="J21" s="29">
        <f>COUNTIF(Связи!$C:$C,A21)+IF(G21="",0,COUNTIF(Навигация!$B:$B,G21))</f>
        <v/>
      </c>
      <c r="K21" s="29">
        <f>COUNTIF(Связи!$G:$G,A21)+COUNTIF(Навигация!$F:$F,A21)</f>
        <v/>
      </c>
      <c r="L21" s="29">
        <f>IF(D21="Дизайн-система","вне графа",IF(AND(K21=0,OR(D21="Состояние",D21="Служебная")),"демо / вход по событию",IF(K21=0,"⚠ сирота",IF(J21=0,"⚠ тупик","ок"))))</f>
        <v/>
      </c>
      <c r="M21" s="27" t="n"/>
      <c r="N21" s="27" t="inlineStr">
        <is>
          <t>Личные данные, смена пароля, «Выйти», «Удалить аккаунт»</t>
        </is>
      </c>
    </row>
    <row r="22" ht="15" customHeight="1" s="13">
      <c r="A22" s="27" t="inlineStr">
        <is>
          <t>A-01</t>
        </is>
      </c>
      <c r="B22" s="27" t="inlineStr">
        <is>
          <t>A</t>
        </is>
      </c>
      <c r="C22" s="27" t="inlineStr">
        <is>
          <t>Шахматка (день)</t>
        </is>
      </c>
      <c r="D22" s="27" t="inlineStr">
        <is>
          <t>Страница</t>
        </is>
      </c>
      <c r="E22" s="27" t="inlineStr">
        <is>
          <t>Администратор</t>
        </is>
      </c>
      <c r="F22" s="27" t="n"/>
      <c r="G22" s="27" t="inlineStr">
        <is>
          <t>NAV-A</t>
        </is>
      </c>
      <c r="H22" s="28" t="inlineStr">
        <is>
          <t>#/staff/admin-home · «Администратор · Шахматка»</t>
        </is>
      </c>
      <c r="I22" s="28" t="inlineStr">
        <is>
          <t>Совпадает</t>
        </is>
      </c>
      <c r="J22" s="29">
        <f>COUNTIF(Связи!$C:$C,A22)+IF(G22="",0,COUNTIF(Навигация!$B:$B,G22))</f>
        <v/>
      </c>
      <c r="K22" s="29">
        <f>COUNTIF(Связи!$G:$G,A22)+COUNTIF(Навигация!$F:$F,A22)</f>
        <v/>
      </c>
      <c r="L22" s="29">
        <f>IF(D22="Дизайн-система","вне графа",IF(AND(K22=0,OR(D22="Состояние",D22="Служебная")),"демо / вход по событию",IF(K22=0,"⚠ сирота",IF(J22=0,"⚠ тупик","ок"))))</f>
        <v/>
      </c>
      <c r="M22" s="27" t="inlineStr">
        <is>
          <t>Главный экран администратора</t>
        </is>
      </c>
      <c r="N22" s="27" t="inlineStr">
        <is>
          <t>Четверг 24 сентября, сводка дня, колонки мастеров</t>
        </is>
      </c>
    </row>
    <row r="23" ht="15" customHeight="1" s="13">
      <c r="A23" s="27" t="inlineStr">
        <is>
          <t>A-01w</t>
        </is>
      </c>
      <c r="B23" s="27" t="inlineStr">
        <is>
          <t>A</t>
        </is>
      </c>
      <c r="C23" s="27" t="inlineStr">
        <is>
          <t>Шахматка (неделя)</t>
        </is>
      </c>
      <c r="D23" s="27" t="inlineStr">
        <is>
          <t>Страница</t>
        </is>
      </c>
      <c r="E23" s="27" t="inlineStr">
        <is>
          <t>Администратор</t>
        </is>
      </c>
      <c r="F23" s="27" t="inlineStr">
        <is>
          <t>A-01</t>
        </is>
      </c>
      <c r="G23" s="27" t="inlineStr">
        <is>
          <t>NAV-A</t>
        </is>
      </c>
      <c r="H23" s="28" t="inlineStr">
        <is>
          <t>Переключатель «Неделя» на #/staff/admin-home</t>
        </is>
      </c>
      <c r="I23" s="28" t="inlineStr">
        <is>
          <t>Совпадает</t>
        </is>
      </c>
      <c r="J23" s="29">
        <f>COUNTIF(Связи!$C:$C,A23)+IF(G23="",0,COUNTIF(Навигация!$B:$B,G23))</f>
        <v/>
      </c>
      <c r="K23" s="29">
        <f>COUNTIF(Связи!$G:$G,A23)+COUNTIF(Навигация!$F:$F,A23)</f>
        <v/>
      </c>
      <c r="L23" s="29">
        <f>IF(D23="Дизайн-система","вне графа",IF(AND(K23=0,OR(D23="Состояние",D23="Служебная")),"демо / вход по событию",IF(K23=0,"⚠ сирота",IF(J23=0,"⚠ тупик","ок"))))</f>
        <v/>
      </c>
      <c r="M23" s="27" t="n"/>
      <c r="N23" s="27" t="inlineStr">
        <is>
          <t>Мастера × вт–сб (22–26 сентября). Четверг — живые записи с поповером, остальные дни — демо-записи и блокировки из паспорта. Добавлено 25.09.2026</t>
        </is>
      </c>
    </row>
    <row r="24" ht="15" customHeight="1" s="13">
      <c r="A24" s="27" t="inlineStr">
        <is>
          <t>A-01d</t>
        </is>
      </c>
      <c r="B24" s="27" t="inlineStr">
        <is>
          <t>A</t>
        </is>
      </c>
      <c r="C24" s="27" t="inlineStr">
        <is>
          <t>Шахматка — перетаскивание записи</t>
        </is>
      </c>
      <c r="D24" s="27" t="inlineStr">
        <is>
          <t>Состояние</t>
        </is>
      </c>
      <c r="E24" s="27" t="inlineStr">
        <is>
          <t>Администратор</t>
        </is>
      </c>
      <c r="F24" s="27" t="inlineStr">
        <is>
          <t>A-01</t>
        </is>
      </c>
      <c r="G24" s="27" t="inlineStr">
        <is>
          <t>NAV-A</t>
        </is>
      </c>
      <c r="H24" s="28" t="inlineStr">
        <is>
          <t>Перетаскивание записи в шахматке</t>
        </is>
      </c>
      <c r="I24" s="28" t="inlineStr">
        <is>
          <t>Совпадает</t>
        </is>
      </c>
      <c r="J24" s="29">
        <f>COUNTIF(Связи!$C:$C,A24)+IF(G24="",0,COUNTIF(Навигация!$B:$B,G24))</f>
        <v/>
      </c>
      <c r="K24" s="29">
        <f>COUNTIF(Связи!$G:$G,A24)+COUNTIF(Навигация!$F:$F,A24)</f>
        <v/>
      </c>
      <c r="L24" s="29">
        <f>IF(D24="Дизайн-система","вне графа",IF(AND(K24=0,OR(D24="Состояние",D24="Служебная")),"демо / вход по событию",IF(K24=0,"⚠ сирота",IF(J24=0,"⚠ тупик","ок"))))</f>
        <v/>
      </c>
      <c r="M24" s="27" t="n"/>
      <c r="N24" s="27" t="inlineStr">
        <is>
          <t>Состояние внутри A-01</t>
        </is>
      </c>
    </row>
    <row r="25" ht="15" customHeight="1" s="13">
      <c r="A25" s="27" t="inlineStr">
        <is>
          <t>A-02</t>
        </is>
      </c>
      <c r="B25" s="27" t="inlineStr">
        <is>
          <t>A</t>
        </is>
      </c>
      <c r="C25" s="27" t="inlineStr">
        <is>
          <t>Панель создания записи</t>
        </is>
      </c>
      <c r="D25" s="27" t="inlineStr">
        <is>
          <t>Панель</t>
        </is>
      </c>
      <c r="E25" s="27" t="inlineStr">
        <is>
          <t>Администратор</t>
        </is>
      </c>
      <c r="F25" s="27" t="inlineStr">
        <is>
          <t>A-01</t>
        </is>
      </c>
      <c r="G25" s="27" t="n"/>
      <c r="H25" s="28" t="inlineStr">
        <is>
          <t>Панель «Новая запись»</t>
        </is>
      </c>
      <c r="I25" s="28" t="inlineStr">
        <is>
          <t>Совпадает</t>
        </is>
      </c>
      <c r="J25" s="29">
        <f>COUNTIF(Связи!$C:$C,A25)+IF(G25="",0,COUNTIF(Навигация!$B:$B,G25))</f>
        <v/>
      </c>
      <c r="K25" s="29">
        <f>COUNTIF(Связи!$G:$G,A25)+COUNTIF(Навигация!$F:$F,A25)</f>
        <v/>
      </c>
      <c r="L25" s="29">
        <f>IF(D25="Дизайн-система","вне графа",IF(AND(K25=0,OR(D25="Состояние",D25="Служебная")),"демо / вход по событию",IF(K25=0,"⚠ сирота",IF(J25=0,"⚠ тупик","ок"))))</f>
        <v/>
      </c>
      <c r="M25" s="27" t="n"/>
      <c r="N25" s="27" t="inlineStr">
        <is>
          <t>Открывается с любого экрана администратора</t>
        </is>
      </c>
    </row>
    <row r="26" ht="15" customHeight="1" s="13">
      <c r="A26" s="27" t="inlineStr">
        <is>
          <t>A-02s</t>
        </is>
      </c>
      <c r="B26" s="27" t="inlineStr">
        <is>
          <t>A</t>
        </is>
      </c>
      <c r="C26" s="27" t="inlineStr">
        <is>
          <t>Создание записи — конфликт слота</t>
        </is>
      </c>
      <c r="D26" s="27" t="inlineStr">
        <is>
          <t>Состояние</t>
        </is>
      </c>
      <c r="E26" s="27" t="inlineStr">
        <is>
          <t>Администратор</t>
        </is>
      </c>
      <c r="F26" s="27" t="inlineStr">
        <is>
          <t>A-02</t>
        </is>
      </c>
      <c r="G26" s="27" t="n"/>
      <c r="H26" s="28" t="inlineStr">
        <is>
          <t>Плашка «Слот только что занят другой записью» в панели</t>
        </is>
      </c>
      <c r="I26" s="28" t="inlineStr">
        <is>
          <t>Совпадает</t>
        </is>
      </c>
      <c r="J26" s="29">
        <f>COUNTIF(Связи!$C:$C,A26)+IF(G26="",0,COUNTIF(Навигация!$B:$B,G26))</f>
        <v/>
      </c>
      <c r="K26" s="29">
        <f>COUNTIF(Связи!$G:$G,A26)+COUNTIF(Навигация!$F:$F,A26)</f>
        <v/>
      </c>
      <c r="L26" s="29">
        <f>IF(D26="Дизайн-система","вне графа",IF(AND(K26=0,OR(D26="Состояние",D26="Служебная")),"демо / вход по событию",IF(K26=0,"⚠ сирота",IF(J26=0,"⚠ тупик","ок"))))</f>
        <v/>
      </c>
      <c r="M26" s="27" t="n"/>
      <c r="N26" s="27" t="n"/>
    </row>
    <row r="27" ht="15" customHeight="1" s="13">
      <c r="A27" s="27" t="inlineStr">
        <is>
          <t>A-03</t>
        </is>
      </c>
      <c r="B27" s="27" t="inlineStr">
        <is>
          <t>A</t>
        </is>
      </c>
      <c r="C27" s="27" t="inlineStr">
        <is>
          <t>Поповер записи</t>
        </is>
      </c>
      <c r="D27" s="27" t="inlineStr">
        <is>
          <t>Поповер</t>
        </is>
      </c>
      <c r="E27" s="27" t="inlineStr">
        <is>
          <t>Администратор</t>
        </is>
      </c>
      <c r="F27" s="27" t="inlineStr">
        <is>
          <t>A-01</t>
        </is>
      </c>
      <c r="G27" s="27" t="n"/>
      <c r="H27" s="28" t="inlineStr">
        <is>
          <t>Поповер записи</t>
        </is>
      </c>
      <c r="I27" s="28" t="inlineStr">
        <is>
          <t>Совпадает</t>
        </is>
      </c>
      <c r="J27" s="29">
        <f>COUNTIF(Связи!$C:$C,A27)+IF(G27="",0,COUNTIF(Навигация!$B:$B,G27))</f>
        <v/>
      </c>
      <c r="K27" s="29">
        <f>COUNTIF(Связи!$G:$G,A27)+COUNTIF(Навигация!$F:$F,A27)</f>
        <v/>
      </c>
      <c r="L27" s="29">
        <f>IF(D27="Дизайн-система","вне графа",IF(AND(K27=0,OR(D27="Состояние",D27="Служебная")),"демо / вход по событию",IF(K27=0,"⚠ сирота",IF(J27=0,"⚠ тупик","ок"))))</f>
        <v/>
      </c>
      <c r="M27" s="27" t="n"/>
      <c r="N27" s="27" t="inlineStr">
        <is>
          <t>Кнопки: «Перенести», «Визит завершён», «Отметить неявку», «Отменить», «Открыть карточку клиента». «Подтвердить» и «Принять оплату» нет · 25.09.2026: у завершённой записи — «Фото работ» (A-12); время записи показывает уборку до … · 25.09.2026: «Визит завершён» и «Отметить неявку» — только для визита, который уже начался; у записей не из демо-дня в поповере показывается дата</t>
        </is>
      </c>
    </row>
    <row r="28" ht="15" customHeight="1" s="13">
      <c r="A28" s="27" t="inlineStr">
        <is>
          <t>A-04</t>
        </is>
      </c>
      <c r="B28" s="27" t="inlineStr">
        <is>
          <t>A</t>
        </is>
      </c>
      <c r="C28" s="27" t="inlineStr">
        <is>
          <t>Диалог переноса</t>
        </is>
      </c>
      <c r="D28" s="27" t="inlineStr">
        <is>
          <t>Модалка</t>
        </is>
      </c>
      <c r="E28" s="27" t="inlineStr">
        <is>
          <t>Администратор</t>
        </is>
      </c>
      <c r="F28" s="27" t="inlineStr">
        <is>
          <t>A-03</t>
        </is>
      </c>
      <c r="G28" s="27" t="n"/>
      <c r="H28" s="28" t="inlineStr">
        <is>
          <t>Диалог «Перенос записи»</t>
        </is>
      </c>
      <c r="I28" s="28" t="inlineStr">
        <is>
          <t>Совпадает</t>
        </is>
      </c>
      <c r="J28" s="29">
        <f>COUNTIF(Связи!$C:$C,A28)+IF(G28="",0,COUNTIF(Навигация!$B:$B,G28))</f>
        <v/>
      </c>
      <c r="K28" s="29">
        <f>COUNTIF(Связи!$G:$G,A28)+COUNTIF(Навигация!$F:$F,A28)</f>
        <v/>
      </c>
      <c r="L28" s="29">
        <f>IF(D28="Дизайн-система","вне графа",IF(AND(K28=0,OR(D28="Состояние",D28="Служебная")),"демо / вход по событию",IF(K28=0,"⚠ сирота",IF(J28=0,"⚠ тупик","ок"))))</f>
        <v/>
      </c>
      <c r="M28" s="27" t="n"/>
      <c r="N28" s="27" t="n"/>
    </row>
    <row r="29" ht="15" customHeight="1" s="13">
      <c r="A29" s="27" t="inlineStr">
        <is>
          <t>A-05</t>
        </is>
      </c>
      <c r="B29" s="27" t="inlineStr">
        <is>
          <t>A</t>
        </is>
      </c>
      <c r="C29" s="27" t="inlineStr">
        <is>
          <t>Диалог отмены</t>
        </is>
      </c>
      <c r="D29" s="27" t="inlineStr">
        <is>
          <t>Модалка</t>
        </is>
      </c>
      <c r="E29" s="27" t="inlineStr">
        <is>
          <t>Администратор</t>
        </is>
      </c>
      <c r="F29" s="27" t="inlineStr">
        <is>
          <t>A-03</t>
        </is>
      </c>
      <c r="G29" s="27" t="n"/>
      <c r="H29" s="28" t="inlineStr">
        <is>
          <t>Диалог «Отмена записи»</t>
        </is>
      </c>
      <c r="I29" s="28" t="inlineStr">
        <is>
          <t>Совпадает</t>
        </is>
      </c>
      <c r="J29" s="29">
        <f>COUNTIF(Связи!$C:$C,A29)+IF(G29="",0,COUNTIF(Навигация!$B:$B,G29))</f>
        <v/>
      </c>
      <c r="K29" s="29">
        <f>COUNTIF(Связи!$G:$G,A29)+COUNTIF(Навигация!$F:$F,A29)</f>
        <v/>
      </c>
      <c r="L29" s="29">
        <f>IF(D29="Дизайн-система","вне графа",IF(AND(K29=0,OR(D29="Состояние",D29="Служебная")),"демо / вход по событию",IF(K29=0,"⚠ сирота",IF(J29=0,"⚠ тупик","ок"))))</f>
        <v/>
      </c>
      <c r="M29" s="27" t="n"/>
      <c r="N29" s="27" t="n"/>
    </row>
    <row r="30" ht="15" customHeight="1" s="13">
      <c r="A30" s="27" t="inlineStr">
        <is>
          <t>A-06</t>
        </is>
      </c>
      <c r="B30" s="27" t="inlineStr">
        <is>
          <t>A</t>
        </is>
      </c>
      <c r="C30" s="27" t="inlineStr">
        <is>
          <t>Диалог неявки</t>
        </is>
      </c>
      <c r="D30" s="27" t="inlineStr">
        <is>
          <t>Модалка</t>
        </is>
      </c>
      <c r="E30" s="27" t="inlineStr">
        <is>
          <t>Администратор</t>
        </is>
      </c>
      <c r="F30" s="27" t="inlineStr">
        <is>
          <t>A-03</t>
        </is>
      </c>
      <c r="G30" s="27" t="n"/>
      <c r="H30" s="28" t="inlineStr">
        <is>
          <t>Диалог «Неявка клиента»</t>
        </is>
      </c>
      <c r="I30" s="28" t="inlineStr">
        <is>
          <t>Совпадает</t>
        </is>
      </c>
      <c r="J30" s="29">
        <f>COUNTIF(Связи!$C:$C,A30)+IF(G30="",0,COUNTIF(Навигация!$B:$B,G30))</f>
        <v/>
      </c>
      <c r="K30" s="29">
        <f>COUNTIF(Связи!$G:$G,A30)+COUNTIF(Навигация!$F:$F,A30)</f>
        <v/>
      </c>
      <c r="L30" s="29">
        <f>IF(D30="Дизайн-система","вне графа",IF(AND(K30=0,OR(D30="Состояние",D30="Служебная")),"демо / вход по событию",IF(K30=0,"⚠ сирота",IF(J30=0,"⚠ тупик","ок"))))</f>
        <v/>
      </c>
      <c r="M30" s="27" t="n"/>
      <c r="N30" s="27" t="n"/>
    </row>
    <row r="31" ht="15" customHeight="1" s="13">
      <c r="A31" s="27" t="inlineStr">
        <is>
          <t>A-07</t>
        </is>
      </c>
      <c r="B31" s="27" t="inlineStr">
        <is>
          <t>A</t>
        </is>
      </c>
      <c r="C31" s="27" t="inlineStr">
        <is>
          <t>Клиенты (список)</t>
        </is>
      </c>
      <c r="D31" s="27" t="inlineStr">
        <is>
          <t>Страница</t>
        </is>
      </c>
      <c r="E31" s="27" t="inlineStr">
        <is>
          <t>Администратор</t>
        </is>
      </c>
      <c r="F31" s="27" t="n"/>
      <c r="G31" s="27" t="inlineStr">
        <is>
          <t>NAV-A</t>
        </is>
      </c>
      <c r="H31" s="28" t="inlineStr">
        <is>
          <t>#/staff/admin/clients · «Администратор · Клиенты»</t>
        </is>
      </c>
      <c r="I31" s="28" t="inlineStr">
        <is>
          <t>Совпадает</t>
        </is>
      </c>
      <c r="J31" s="29">
        <f>COUNTIF(Связи!$C:$C,A31)+IF(G31="",0,COUNTIF(Навигация!$B:$B,G31))</f>
        <v/>
      </c>
      <c r="K31" s="29">
        <f>COUNTIF(Связи!$G:$G,A31)+COUNTIF(Навигация!$F:$F,A31)</f>
        <v/>
      </c>
      <c r="L31" s="29">
        <f>IF(D31="Дизайн-система","вне графа",IF(AND(K31=0,OR(D31="Состояние",D31="Служебная")),"демо / вход по событию",IF(K31=0,"⚠ сирота",IF(J31=0,"⚠ тупик","ок"))))</f>
        <v/>
      </c>
      <c r="M31" s="27" t="n"/>
      <c r="N31" s="27" t="inlineStr">
        <is>
          <t>Поиск, фильтры, сортировка, чекбоксы (массовых действий нет), пагинация</t>
        </is>
      </c>
    </row>
    <row r="32" ht="15" customHeight="1" s="13">
      <c r="A32" s="27" t="inlineStr">
        <is>
          <t>A-08</t>
        </is>
      </c>
      <c r="B32" s="27" t="inlineStr">
        <is>
          <t>A</t>
        </is>
      </c>
      <c r="C32" s="27" t="inlineStr">
        <is>
          <t>Быстрый просмотр клиента</t>
        </is>
      </c>
      <c r="D32" s="27" t="inlineStr">
        <is>
          <t>Панель</t>
        </is>
      </c>
      <c r="E32" s="27" t="inlineStr">
        <is>
          <t>Администратор</t>
        </is>
      </c>
      <c r="F32" s="27" t="inlineStr">
        <is>
          <t>A-07</t>
        </is>
      </c>
      <c r="G32" s="27" t="n"/>
      <c r="H32" s="28" t="inlineStr">
        <is>
          <t>Панель быстрого просмотра клиента</t>
        </is>
      </c>
      <c r="I32" s="28" t="inlineStr">
        <is>
          <t>Совпадает</t>
        </is>
      </c>
      <c r="J32" s="29">
        <f>COUNTIF(Связи!$C:$C,A32)+IF(G32="",0,COUNTIF(Навигация!$B:$B,G32))</f>
        <v/>
      </c>
      <c r="K32" s="29">
        <f>COUNTIF(Связи!$G:$G,A32)+COUNTIF(Навигация!$F:$F,A32)</f>
        <v/>
      </c>
      <c r="L32" s="29">
        <f>IF(D32="Дизайн-система","вне графа",IF(AND(K32=0,OR(D32="Состояние",D32="Служебная")),"демо / вход по событию",IF(K32=0,"⚠ сирота",IF(J32=0,"⚠ тупик","ок"))))</f>
        <v/>
      </c>
      <c r="M32" s="27" t="n"/>
      <c r="N32" s="27" t="n"/>
    </row>
    <row r="33" ht="15" customHeight="1" s="13">
      <c r="A33" s="27" t="inlineStr">
        <is>
          <t>A-09</t>
        </is>
      </c>
      <c r="B33" s="27" t="inlineStr">
        <is>
          <t>A</t>
        </is>
      </c>
      <c r="C33" s="27" t="inlineStr">
        <is>
          <t>Карточка клиента (полная)</t>
        </is>
      </c>
      <c r="D33" s="27" t="inlineStr">
        <is>
          <t>Страница</t>
        </is>
      </c>
      <c r="E33" s="27" t="inlineStr">
        <is>
          <t>Администратор</t>
        </is>
      </c>
      <c r="F33" s="27" t="inlineStr">
        <is>
          <t>A-07</t>
        </is>
      </c>
      <c r="G33" s="27" t="inlineStr">
        <is>
          <t>NAV-A</t>
        </is>
      </c>
      <c r="H33" s="28" t="inlineStr">
        <is>
          <t>#/staff/admin/client/:id · «Администратор · карточка клиента»</t>
        </is>
      </c>
      <c r="I33" s="28" t="inlineStr">
        <is>
          <t>Совпадает</t>
        </is>
      </c>
      <c r="J33" s="29">
        <f>COUNTIF(Связи!$C:$C,A33)+IF(G33="",0,COUNTIF(Навигация!$B:$B,G33))</f>
        <v/>
      </c>
      <c r="K33" s="29">
        <f>COUNTIF(Связи!$G:$G,A33)+COUNTIF(Навигация!$F:$F,A33)</f>
        <v/>
      </c>
      <c r="L33" s="29">
        <f>IF(D33="Дизайн-система","вне графа",IF(AND(K33=0,OR(D33="Состояние",D33="Служебная")),"демо / вход по событию",IF(K33=0,"⚠ сирота",IF(J33=0,"⚠ тупик","ок"))))</f>
        <v/>
      </c>
      <c r="M33" s="27" t="n"/>
      <c r="N33" s="27" t="inlineStr">
        <is>
          <t>Вкладки: история, предстоящие, заметки, важное. «Написать» нет. «Архивировать» убрана 25.09.2026: архива клиентов нет в паспорте, записи и история не удаляются · 25.09.2026: в истории визитов — «N фото» / «+ Добавить фото» (A-12) · 25.09.2026: предстоящие записи кликабельны и открывают поповер записи A-03</t>
        </is>
      </c>
    </row>
    <row r="34" ht="15" customHeight="1" s="13">
      <c r="A34" s="27" t="inlineStr">
        <is>
          <t>A-11</t>
        </is>
      </c>
      <c r="B34" s="27" t="inlineStr">
        <is>
          <t>A</t>
        </is>
      </c>
      <c r="C34" s="27" t="inlineStr">
        <is>
          <t>В чёрный список</t>
        </is>
      </c>
      <c r="D34" s="27" t="inlineStr">
        <is>
          <t>Модалка</t>
        </is>
      </c>
      <c r="E34" s="27" t="inlineStr">
        <is>
          <t>Администратор</t>
        </is>
      </c>
      <c r="F34" s="27" t="inlineStr">
        <is>
          <t>A-09</t>
        </is>
      </c>
      <c r="G34" s="27" t="n"/>
      <c r="H34" s="28" t="inlineStr">
        <is>
          <t>Диалог «Добавить в чёрный список»</t>
        </is>
      </c>
      <c r="I34" s="28" t="inlineStr">
        <is>
          <t>Совпадает</t>
        </is>
      </c>
      <c r="J34" s="29">
        <f>COUNTIF(Связи!$C:$C,A34)+IF(G34="",0,COUNTIF(Навигация!$B:$B,G34))</f>
        <v/>
      </c>
      <c r="K34" s="29">
        <f>COUNTIF(Связи!$G:$G,A34)+COUNTIF(Навигация!$F:$F,A34)</f>
        <v/>
      </c>
      <c r="L34" s="29">
        <f>IF(D34="Дизайн-система","вне графа",IF(AND(K34=0,OR(D34="Состояние",D34="Служебная")),"демо / вход по событию",IF(K34=0,"⚠ сирота",IF(J34=0,"⚠ тупик","ок"))))</f>
        <v/>
      </c>
      <c r="M34" s="27" t="n"/>
      <c r="N34" s="27" t="n"/>
    </row>
    <row r="35" ht="15" customHeight="1" s="13">
      <c r="A35" s="27" t="inlineStr">
        <is>
          <t>A-19</t>
        </is>
      </c>
      <c r="B35" s="27" t="inlineStr">
        <is>
          <t>A</t>
        </is>
      </c>
      <c r="C35" s="27" t="inlineStr">
        <is>
          <t>Мастера (список)</t>
        </is>
      </c>
      <c r="D35" s="27" t="inlineStr">
        <is>
          <t>Страница</t>
        </is>
      </c>
      <c r="E35" s="27" t="inlineStr">
        <is>
          <t>Администратор</t>
        </is>
      </c>
      <c r="F35" s="27" t="n"/>
      <c r="G35" s="27" t="inlineStr">
        <is>
          <t>NAV-A</t>
        </is>
      </c>
      <c r="H35" s="28" t="inlineStr">
        <is>
          <t>#/staff/admin/masters · «Администратор · Мастера»</t>
        </is>
      </c>
      <c r="I35" s="28" t="inlineStr">
        <is>
          <t>Совпадает</t>
        </is>
      </c>
      <c r="J35" s="29">
        <f>COUNTIF(Связи!$C:$C,A35)+IF(G35="",0,COUNTIF(Навигация!$B:$B,G35))</f>
        <v/>
      </c>
      <c r="K35" s="29">
        <f>COUNTIF(Связи!$G:$G,A35)+COUNTIF(Навигация!$F:$F,A35)</f>
        <v/>
      </c>
      <c r="L35" s="29">
        <f>IF(D35="Дизайн-система","вне графа",IF(AND(K35=0,OR(D35="Состояние",D35="Служебная")),"демо / вход по событию",IF(K35=0,"⚠ сирота",IF(J35=0,"⚠ тупик","ок"))))</f>
        <v/>
      </c>
      <c r="M35" s="27" t="n"/>
      <c r="N35" s="27" t="inlineStr">
        <is>
          <t>Вкладок нет: кнопка «График смен на месяц»</t>
        </is>
      </c>
    </row>
    <row r="36" ht="15" customHeight="1" s="13">
      <c r="A36" s="27" t="inlineStr">
        <is>
          <t>A-20</t>
        </is>
      </c>
      <c r="B36" s="27" t="inlineStr">
        <is>
          <t>A</t>
        </is>
      </c>
      <c r="C36" s="27" t="inlineStr">
        <is>
          <t>График смен</t>
        </is>
      </c>
      <c r="D36" s="27" t="inlineStr">
        <is>
          <t>Страница</t>
        </is>
      </c>
      <c r="E36" s="27" t="inlineStr">
        <is>
          <t>Администратор</t>
        </is>
      </c>
      <c r="F36" s="27" t="inlineStr">
        <is>
          <t>A-19</t>
        </is>
      </c>
      <c r="G36" s="27" t="inlineStr">
        <is>
          <t>NAV-A</t>
        </is>
      </c>
      <c r="H36" s="28" t="inlineStr">
        <is>
          <t>#/staff/admin/masters/schedule · «Администратор · График смен»</t>
        </is>
      </c>
      <c r="I36" s="28" t="inlineStr">
        <is>
          <t>Совпадает</t>
        </is>
      </c>
      <c r="J36" s="29">
        <f>COUNTIF(Связи!$C:$C,A36)+IF(G36="",0,COUNTIF(Навигация!$B:$B,G36))</f>
        <v/>
      </c>
      <c r="K36" s="29">
        <f>COUNTIF(Связи!$G:$G,A36)+COUNTIF(Навигация!$F:$F,A36)</f>
        <v/>
      </c>
      <c r="L36" s="29">
        <f>IF(D36="Дизайн-система","вне графа",IF(AND(K36=0,OR(D36="Состояние",D36="Служебная")),"демо / вход по событию",IF(K36=0,"⚠ сирота",IF(J36=0,"⚠ тупик","ок"))))</f>
        <v/>
      </c>
      <c r="M36" s="27" t="n"/>
      <c r="N36" s="27" t="inlineStr">
        <is>
          <t>Клик по ячейке — рабочий день / выходной · 25.09.2026: под сеткой — блок «Особые дни студии» (A-20d), особые дни отмечены рамкой</t>
        </is>
      </c>
    </row>
    <row r="37" ht="15" customHeight="1" s="13">
      <c r="A37" s="27" t="inlineStr">
        <is>
          <t>A-22</t>
        </is>
      </c>
      <c r="B37" s="27" t="inlineStr">
        <is>
          <t>A</t>
        </is>
      </c>
      <c r="C37" s="27" t="inlineStr">
        <is>
          <t>Карточка мастера</t>
        </is>
      </c>
      <c r="D37" s="27" t="inlineStr">
        <is>
          <t>Страница</t>
        </is>
      </c>
      <c r="E37" s="27" t="inlineStr">
        <is>
          <t>Администратор</t>
        </is>
      </c>
      <c r="F37" s="27" t="inlineStr">
        <is>
          <t>A-19</t>
        </is>
      </c>
      <c r="G37" s="27" t="inlineStr">
        <is>
          <t>NAV-A</t>
        </is>
      </c>
      <c r="H37" s="28" t="inlineStr">
        <is>
          <t>#/staff/admin/masters/:id · «Администратор · карточка мастера»</t>
        </is>
      </c>
      <c r="I37" s="28" t="inlineStr">
        <is>
          <t>Совпадает</t>
        </is>
      </c>
      <c r="J37" s="29">
        <f>COUNTIF(Связи!$C:$C,A37)+IF(G37="",0,COUNTIF(Навигация!$B:$B,G37))</f>
        <v/>
      </c>
      <c r="K37" s="29">
        <f>COUNTIF(Связи!$G:$G,A37)+COUNTIF(Навигация!$F:$F,A37)</f>
        <v/>
      </c>
      <c r="L37" s="29">
        <f>IF(D37="Дизайн-система","вне графа",IF(AND(K37=0,OR(D37="Состояние",D37="Служебная")),"демо / вход по событию",IF(K37=0,"⚠ сирота",IF(J37=0,"⚠ тупик","ок"))))</f>
        <v/>
      </c>
      <c r="M37" s="27" t="n"/>
      <c r="N37" s="27" t="inlineStr">
        <is>
          <t>Имя, статус, специализация; переключатель уровня «Мастер / Топ-мастер» и цены услуг по уровню (masters.level); рабочие дни и часы; форма «Новый график с даты» (A-22p, master_weekly_hours.valid_from). Обновлено 25.09.2026 при сверке со схемой БД</t>
        </is>
      </c>
    </row>
    <row r="38" ht="15" customHeight="1" s="13">
      <c r="A38" s="27" t="inlineStr">
        <is>
          <t>A-23</t>
        </is>
      </c>
      <c r="B38" s="27" t="inlineStr">
        <is>
          <t>A</t>
        </is>
      </c>
      <c r="C38" s="27" t="inlineStr">
        <is>
          <t>Услуги (список)</t>
        </is>
      </c>
      <c r="D38" s="27" t="inlineStr">
        <is>
          <t>Страница</t>
        </is>
      </c>
      <c r="E38" s="27" t="inlineStr">
        <is>
          <t>Администратор</t>
        </is>
      </c>
      <c r="F38" s="27" t="n"/>
      <c r="G38" s="27" t="inlineStr">
        <is>
          <t>NAV-A</t>
        </is>
      </c>
      <c r="H38" s="28" t="inlineStr">
        <is>
          <t>#/staff/admin/services · «Администратор · Услуги»</t>
        </is>
      </c>
      <c r="I38" s="28" t="inlineStr">
        <is>
          <t>Совпадает</t>
        </is>
      </c>
      <c r="J38" s="29">
        <f>COUNTIF(Связи!$C:$C,A38)+IF(G38="",0,COUNTIF(Навигация!$B:$B,G38))</f>
        <v/>
      </c>
      <c r="K38" s="29">
        <f>COUNTIF(Связи!$G:$G,A38)+COUNTIF(Навигация!$F:$F,A38)</f>
        <v/>
      </c>
      <c r="L38" s="29">
        <f>IF(D38="Дизайн-система","вне графа",IF(AND(K38=0,OR(D38="Состояние",D38="Служебная")),"демо / вход по событию",IF(K38=0,"⚠ сирота",IF(J38=0,"⚠ тупик","ок"))))</f>
        <v/>
      </c>
      <c r="M38" s="27" t="n"/>
      <c r="N38" s="27" t="inlineStr">
        <is>
          <t>По категориям, «+ Категория», «+ Добавить услугу»</t>
        </is>
      </c>
    </row>
    <row r="39" ht="15" customHeight="1" s="13">
      <c r="A39" s="27" t="inlineStr">
        <is>
          <t>A-24</t>
        </is>
      </c>
      <c r="B39" s="27" t="inlineStr">
        <is>
          <t>A</t>
        </is>
      </c>
      <c r="C39" s="27" t="inlineStr">
        <is>
          <t>Форма услуги</t>
        </is>
      </c>
      <c r="D39" s="27" t="inlineStr">
        <is>
          <t>Страница</t>
        </is>
      </c>
      <c r="E39" s="27" t="inlineStr">
        <is>
          <t>Администратор</t>
        </is>
      </c>
      <c r="F39" s="27" t="inlineStr">
        <is>
          <t>A-23</t>
        </is>
      </c>
      <c r="G39" s="27" t="inlineStr">
        <is>
          <t>NAV-A</t>
        </is>
      </c>
      <c r="H39" s="28" t="inlineStr">
        <is>
          <t>#/staff/admin/services/form · «Администратор · форма услуги»</t>
        </is>
      </c>
      <c r="I39" s="28" t="inlineStr">
        <is>
          <t>Совпадает</t>
        </is>
      </c>
      <c r="J39" s="29">
        <f>COUNTIF(Связи!$C:$C,A39)+IF(G39="",0,COUNTIF(Навигация!$B:$B,G39))</f>
        <v/>
      </c>
      <c r="K39" s="29">
        <f>COUNTIF(Связи!$G:$G,A39)+COUNTIF(Навигация!$F:$F,A39)</f>
        <v/>
      </c>
      <c r="L39" s="29">
        <f>IF(D39="Дизайн-система","вне графа",IF(AND(K39=0,OR(D39="Состояние",D39="Служебная")),"демо / вход по событию",IF(K39=0,"⚠ сирота",IF(J39=0,"⚠ тупик","ок"))))</f>
        <v/>
      </c>
      <c r="M39" s="27" t="n"/>
      <c r="N39" s="27" t="inlineStr">
        <is>
          <t>Открывается из списка (строка услуги, «+ Добавить услугу») и по прямому адресу; «Сохранить», «Отмена», «← Услуги» возвращают к списку. Исправлено 25.09.2026 · 25.09.2026: добавлены поля «Уборка после услуги, мин» и «Цена у топ-мастера, ₽» с проверкой «не ниже цены у мастера»</t>
        </is>
      </c>
    </row>
    <row r="40" ht="15" customHeight="1" s="13">
      <c r="A40" s="27" t="inlineStr">
        <is>
          <t>A-S1</t>
        </is>
      </c>
      <c r="B40" s="27" t="inlineStr">
        <is>
          <t>A</t>
        </is>
      </c>
      <c r="C40" s="27" t="inlineStr">
        <is>
          <t>Запись изменена другим сотрудником</t>
        </is>
      </c>
      <c r="D40" s="27" t="inlineStr">
        <is>
          <t>Состояние</t>
        </is>
      </c>
      <c r="E40" s="27" t="inlineStr">
        <is>
          <t>Администратор</t>
        </is>
      </c>
      <c r="F40" s="27" t="inlineStr">
        <is>
          <t>A-01</t>
        </is>
      </c>
      <c r="G40" s="27" t="n"/>
      <c r="H40" s="28" t="inlineStr">
        <is>
          <t>Галерея состояний · «Конфликт одновременного редактирования»</t>
        </is>
      </c>
      <c r="I40" s="28" t="inlineStr">
        <is>
          <t>Совпадает</t>
        </is>
      </c>
      <c r="J40" s="29">
        <f>COUNTIF(Связи!$C:$C,A40)+IF(G40="",0,COUNTIF(Навигация!$B:$B,G40))</f>
        <v/>
      </c>
      <c r="K40" s="29">
        <f>COUNTIF(Связи!$G:$G,A40)+COUNTIF(Навигация!$F:$F,A40)</f>
        <v/>
      </c>
      <c r="L40" s="29">
        <f>IF(D40="Дизайн-система","вне графа",IF(AND(K40=0,OR(D40="Состояние",D40="Служебная")),"демо / вход по событию",IF(K40=0,"⚠ сирота",IF(J40=0,"⚠ тупик","ок"))))</f>
        <v/>
      </c>
      <c r="M40" s="27" t="n"/>
      <c r="N40" s="27" t="inlineStr">
        <is>
          <t>Только карточка в галерее A-33</t>
        </is>
      </c>
    </row>
    <row r="41" ht="15" customHeight="1" s="13">
      <c r="A41" s="27" t="inlineStr">
        <is>
          <t>A-S2</t>
        </is>
      </c>
      <c r="B41" s="27" t="inlineStr">
        <is>
          <t>A</t>
        </is>
      </c>
      <c r="C41" s="27" t="inlineStr">
        <is>
          <t>Ошибка загрузки расписания</t>
        </is>
      </c>
      <c r="D41" s="27" t="inlineStr">
        <is>
          <t>Состояние</t>
        </is>
      </c>
      <c r="E41" s="27" t="inlineStr">
        <is>
          <t>Администратор</t>
        </is>
      </c>
      <c r="F41" s="27" t="inlineStr">
        <is>
          <t>A-01</t>
        </is>
      </c>
      <c r="G41" s="27" t="inlineStr">
        <is>
          <t>NAV-A</t>
        </is>
      </c>
      <c r="H41" s="28" t="inlineStr">
        <is>
          <t>Галерея состояний · «Ошибка загрузки расписания»</t>
        </is>
      </c>
      <c r="I41" s="28" t="inlineStr">
        <is>
          <t>Совпадает</t>
        </is>
      </c>
      <c r="J41" s="29">
        <f>COUNTIF(Связи!$C:$C,A41)+IF(G41="",0,COUNTIF(Навигация!$B:$B,G41))</f>
        <v/>
      </c>
      <c r="K41" s="29">
        <f>COUNTIF(Связи!$G:$G,A41)+COUNTIF(Навигация!$F:$F,A41)</f>
        <v/>
      </c>
      <c r="L41" s="29">
        <f>IF(D41="Дизайн-система","вне графа",IF(AND(K41=0,OR(D41="Состояние",D41="Служебная")),"демо / вход по событию",IF(K41=0,"⚠ сирота",IF(J41=0,"⚠ тупик","ок"))))</f>
        <v/>
      </c>
      <c r="M41" s="27" t="n"/>
      <c r="N41" s="27" t="inlineStr">
        <is>
          <t>Только карточка в галерее A-33</t>
        </is>
      </c>
    </row>
    <row r="42" ht="15" customHeight="1" s="13">
      <c r="A42" s="27" t="inlineStr">
        <is>
          <t>A-S3</t>
        </is>
      </c>
      <c r="B42" s="27" t="inlineStr">
        <is>
          <t>A</t>
        </is>
      </c>
      <c r="C42" s="27" t="inlineStr">
        <is>
          <t>Скелетон загрузки шахматки</t>
        </is>
      </c>
      <c r="D42" s="27" t="inlineStr">
        <is>
          <t>Состояние</t>
        </is>
      </c>
      <c r="E42" s="27" t="inlineStr">
        <is>
          <t>Администратор</t>
        </is>
      </c>
      <c r="F42" s="27" t="inlineStr">
        <is>
          <t>A-01</t>
        </is>
      </c>
      <c r="G42" s="27" t="inlineStr">
        <is>
          <t>NAV-A</t>
        </is>
      </c>
      <c r="H42" s="28" t="inlineStr">
        <is>
          <t>Галерея состояний · «Скелетон загрузки шахматки»</t>
        </is>
      </c>
      <c r="I42" s="28" t="inlineStr">
        <is>
          <t>Совпадает</t>
        </is>
      </c>
      <c r="J42" s="29">
        <f>COUNTIF(Связи!$C:$C,A42)+IF(G42="",0,COUNTIF(Навигация!$B:$B,G42))</f>
        <v/>
      </c>
      <c r="K42" s="29">
        <f>COUNTIF(Связи!$G:$G,A42)+COUNTIF(Навигация!$F:$F,A42)</f>
        <v/>
      </c>
      <c r="L42" s="29">
        <f>IF(D42="Дизайн-система","вне графа",IF(AND(K42=0,OR(D42="Состояние",D42="Служебная")),"демо / вход по событию",IF(K42=0,"⚠ сирота",IF(J42=0,"⚠ тупик","ок"))))</f>
        <v/>
      </c>
      <c r="M42" s="27" t="n"/>
      <c r="N42" s="27" t="inlineStr">
        <is>
          <t>Только карточка в галерее A-33</t>
        </is>
      </c>
    </row>
    <row r="43" ht="15" customHeight="1" s="13">
      <c r="A43" s="27" t="inlineStr">
        <is>
          <t>SYS-01</t>
        </is>
      </c>
      <c r="B43" s="27" t="inlineStr">
        <is>
          <t>SYS</t>
        </is>
      </c>
      <c r="C43" s="27" t="inlineStr">
        <is>
          <t>Страница не найдена (404)</t>
        </is>
      </c>
      <c r="D43" s="27" t="inlineStr">
        <is>
          <t>Служебная</t>
        </is>
      </c>
      <c r="E43" s="27" t="inlineStr">
        <is>
          <t>Все</t>
        </is>
      </c>
      <c r="F43" s="27" t="n"/>
      <c r="G43" s="27" t="n"/>
      <c r="H43" s="28" t="inlineStr">
        <is>
          <t>#/404 · «Страница не найдена»</t>
        </is>
      </c>
      <c r="I43" s="28" t="inlineStr">
        <is>
          <t>Совпадает</t>
        </is>
      </c>
      <c r="J43" s="29">
        <f>COUNTIF(Связи!$C:$C,A43)+IF(G43="",0,COUNTIF(Навигация!$B:$B,G43))</f>
        <v/>
      </c>
      <c r="K43" s="29">
        <f>COUNTIF(Связи!$G:$G,A43)+COUNTIF(Навигация!$F:$F,A43)</f>
        <v/>
      </c>
      <c r="L43" s="29">
        <f>IF(D43="Дизайн-система","вне графа",IF(AND(K43=0,OR(D43="Состояние",D43="Служебная")),"демо / вход по событию",IF(K43=0,"⚠ сирота",IF(J43=0,"⚠ тупик","ок"))))</f>
        <v/>
      </c>
      <c r="M43" s="27" t="n"/>
      <c r="N43" s="27" t="inlineStr">
        <is>
          <t>Показывается на любой неизвестный адрес</t>
        </is>
      </c>
    </row>
    <row r="44" ht="15" customHeight="1" s="13">
      <c r="A44" s="27" t="inlineStr">
        <is>
          <t>SYS-03</t>
        </is>
      </c>
      <c r="B44" s="27" t="inlineStr">
        <is>
          <t>SYS</t>
        </is>
      </c>
      <c r="C44" s="27" t="inlineStr">
        <is>
          <t>Сессия истекла</t>
        </is>
      </c>
      <c r="D44" s="27" t="inlineStr">
        <is>
          <t>Служебная</t>
        </is>
      </c>
      <c r="E44" s="27" t="inlineStr">
        <is>
          <t>Все</t>
        </is>
      </c>
      <c r="F44" s="27" t="n"/>
      <c r="G44" s="27" t="n"/>
      <c r="H44" s="28" t="inlineStr">
        <is>
          <t>Модалка «Сессия истекла» (BOOK-M3) + карточка в галерее A-33</t>
        </is>
      </c>
      <c r="I44" s="28" t="inlineStr">
        <is>
          <t>Другое название</t>
        </is>
      </c>
      <c r="J44" s="29">
        <f>COUNTIF(Связи!$C:$C,A44)+IF(G44="",0,COUNTIF(Навигация!$B:$B,G44))</f>
        <v/>
      </c>
      <c r="K44" s="29">
        <f>COUNTIF(Связи!$G:$G,A44)+COUNTIF(Навигация!$F:$F,A44)</f>
        <v/>
      </c>
      <c r="L44" s="29">
        <f>IF(D44="Дизайн-система","вне графа",IF(AND(K44=0,OR(D44="Состояние",D44="Служебная")),"демо / вход по событию",IF(K44=0,"⚠ сирота",IF(J44=0,"⚠ тупик","ок"))))</f>
        <v/>
      </c>
      <c r="M44" s="27" t="n"/>
      <c r="N44" s="27" t="inlineStr">
        <is>
          <t>Страницы нет: у клиента — модалка входа на BOOK-04, у сотрудника — карточка в галерее</t>
        </is>
      </c>
    </row>
    <row r="45" ht="15" customHeight="1" s="13">
      <c r="A45" s="27" t="inlineStr">
        <is>
          <t>SYS-04</t>
        </is>
      </c>
      <c r="B45" s="27" t="inlineStr">
        <is>
          <t>SYS</t>
        </is>
      </c>
      <c r="C45" s="27" t="inlineStr">
        <is>
          <t>Учётная запись заблокирована</t>
        </is>
      </c>
      <c r="D45" s="27" t="inlineStr">
        <is>
          <t>Служебная</t>
        </is>
      </c>
      <c r="E45" s="27" t="inlineStr">
        <is>
          <t>Сотрудник</t>
        </is>
      </c>
      <c r="F45" s="27" t="n"/>
      <c r="G45" s="27" t="n"/>
      <c r="H45" s="28" t="inlineStr">
        <is>
          <t>Галерея состояний · «Учётная запись заблокирована»</t>
        </is>
      </c>
      <c r="I45" s="28" t="inlineStr">
        <is>
          <t>Совпадает</t>
        </is>
      </c>
      <c r="J45" s="29">
        <f>COUNTIF(Связи!$C:$C,A45)+IF(G45="",0,COUNTIF(Навигация!$B:$B,G45))</f>
        <v/>
      </c>
      <c r="K45" s="29">
        <f>COUNTIF(Связи!$G:$G,A45)+COUNTIF(Навигация!$F:$F,A45)</f>
        <v/>
      </c>
      <c r="L45" s="29">
        <f>IF(D45="Дизайн-система","вне графа",IF(AND(K45=0,OR(D45="Состояние",D45="Служебная")),"демо / вход по событию",IF(K45=0,"⚠ сирота",IF(J45=0,"⚠ тупик","ок"))))</f>
        <v/>
      </c>
      <c r="M45" s="27" t="n"/>
      <c r="N45" s="27" t="inlineStr">
        <is>
          <t>Только карточка в галерее A-33</t>
        </is>
      </c>
    </row>
    <row r="46" ht="15" customHeight="1" s="13">
      <c r="A46" s="27" t="inlineStr">
        <is>
          <t>DS-01</t>
        </is>
      </c>
      <c r="B46" s="27" t="inlineStr">
        <is>
          <t>DS</t>
        </is>
      </c>
      <c r="C46" s="27" t="inlineStr">
        <is>
          <t>Дизайн-система</t>
        </is>
      </c>
      <c r="D46" s="27" t="inlineStr">
        <is>
          <t>Дизайн-система</t>
        </is>
      </c>
      <c r="E46" s="27" t="inlineStr">
        <is>
          <t>—</t>
        </is>
      </c>
      <c r="F46" s="27" t="n"/>
      <c r="G46" s="27" t="n"/>
      <c r="H46" s="28" t="inlineStr">
        <is>
          <t>Дизайн-система Ноготочки.html</t>
        </is>
      </c>
      <c r="I46" s="28" t="inlineStr">
        <is>
          <t>Совпадает</t>
        </is>
      </c>
      <c r="J46" s="29">
        <f>COUNTIF(Связи!$C:$C,A46)+IF(G46="",0,COUNTIF(Навигация!$B:$B,G46))</f>
        <v/>
      </c>
      <c r="K46" s="29">
        <f>COUNTIF(Связи!$G:$G,A46)+COUNTIF(Навигация!$F:$F,A46)</f>
        <v/>
      </c>
      <c r="L46" s="29">
        <f>IF(D46="Дизайн-система","вне графа",IF(AND(K46=0,OR(D46="Состояние",D46="Служебная")),"демо / вход по событию",IF(K46=0,"⚠ сирота",IF(J46=0,"⚠ тупик","ок"))))</f>
        <v/>
      </c>
      <c r="M46" s="27" t="inlineStr">
        <is>
          <t>Вне графа переходов</t>
        </is>
      </c>
      <c r="N46" s="27" t="inlineStr">
        <is>
          <t>Плюс блок «Базовые компоненты» внизу служебных экранов прототипа</t>
        </is>
      </c>
    </row>
    <row r="47" ht="15" customHeight="1" s="13">
      <c r="A47" s="27" t="inlineStr">
        <is>
          <t>AUTH-08</t>
        </is>
      </c>
      <c r="B47" s="27" t="inlineStr">
        <is>
          <t>AUTH</t>
        </is>
      </c>
      <c r="C47" s="27" t="inlineStr">
        <is>
          <t>Новый пароль (сброс)</t>
        </is>
      </c>
      <c r="D47" s="27" t="inlineStr">
        <is>
          <t>Страница</t>
        </is>
      </c>
      <c r="E47" s="27" t="inlineStr">
        <is>
          <t>Все</t>
        </is>
      </c>
      <c r="F47" s="27" t="inlineStr">
        <is>
          <t>AUTH-06</t>
        </is>
      </c>
      <c r="G47" s="27" t="n"/>
      <c r="H47" s="28" t="inlineStr">
        <is>
          <t>#/reset-password · «Сброс пароля»</t>
        </is>
      </c>
      <c r="I47" s="28" t="inlineStr">
        <is>
          <t>Совпадает</t>
        </is>
      </c>
      <c r="J47" s="29">
        <f>COUNTIF(Связи!$C:$C,A47)+IF(G47="",0,COUNTIF(Навигация!$B:$B,G47))</f>
        <v/>
      </c>
      <c r="K47" s="29">
        <f>COUNTIF(Связи!$G:$G,A47)+COUNTIF(Навигация!$F:$F,A47)</f>
        <v/>
      </c>
      <c r="L47" s="29">
        <f>IF(D47="Дизайн-система","вне графа",IF(AND(K47=0,OR(D47="Состояние",D47="Служебная")),"демо / вход по событию",IF(K47=0,"⚠ сирота",IF(J47=0,"⚠ тупик","ок"))))</f>
        <v/>
      </c>
      <c r="M47" s="27" t="inlineStr">
        <is>
          <t>Добавлено при сверке с прототипом</t>
        </is>
      </c>
      <c r="N47" s="27" t="inlineStr">
        <is>
          <t>После кода из AUTH-02. Состояния: форма, «Пароль изменён», «Ссылка больше не действует» · 25.09.2026: входит в продукт по схеме БД — сброс пароля по одноразовому коду или ссылке (auth_codes, users.password_hash)</t>
        </is>
      </c>
    </row>
    <row r="48" ht="15" customHeight="1" s="13">
      <c r="A48" s="27" t="inlineStr">
        <is>
          <t>BOOK-M2</t>
        </is>
      </c>
      <c r="B48" s="27" t="inlineStr">
        <is>
          <t>BOOK</t>
        </is>
      </c>
      <c r="C48" s="27" t="inlineStr">
        <is>
          <t>Бронь времени истекла</t>
        </is>
      </c>
      <c r="D48" s="27" t="inlineStr">
        <is>
          <t>Модалка</t>
        </is>
      </c>
      <c r="E48" s="27" t="inlineStr">
        <is>
          <t>Клиент</t>
        </is>
      </c>
      <c r="F48" s="27" t="inlineStr">
        <is>
          <t>BOOK-04</t>
        </is>
      </c>
      <c r="G48" s="27" t="n"/>
      <c r="H48" s="28" t="inlineStr">
        <is>
          <t>Модалка «Время брони истекло»</t>
        </is>
      </c>
      <c r="I48" s="28" t="inlineStr">
        <is>
          <t>Совпадает</t>
        </is>
      </c>
      <c r="J48" s="29">
        <f>COUNTIF(Связи!$C:$C,A48)+IF(G48="",0,COUNTIF(Навигация!$B:$B,G48))</f>
        <v/>
      </c>
      <c r="K48" s="29">
        <f>COUNTIF(Связи!$G:$G,A48)+COUNTIF(Навигация!$F:$F,A48)</f>
        <v/>
      </c>
      <c r="L48" s="29">
        <f>IF(D48="Дизайн-система","вне графа",IF(AND(K48=0,OR(D48="Состояние",D48="Служебная")),"демо / вход по событию",IF(K48=0,"⚠ сирота",IF(J48=0,"⚠ тупик","ок"))))</f>
        <v/>
      </c>
      <c r="M48" s="27" t="inlineStr">
        <is>
          <t>Добавлено при сверке с прототипом</t>
        </is>
      </c>
      <c r="N48" s="27" t="inlineStr">
        <is>
          <t>Через 10 минут удержания слота · 25.09.2026: входит в продукт по схеме БД — бронь времени на 10 минут (slot_holds)</t>
        </is>
      </c>
    </row>
    <row r="49" ht="15" customHeight="1" s="13">
      <c r="A49" s="27" t="inlineStr">
        <is>
          <t>BOOK-M3</t>
        </is>
      </c>
      <c r="B49" s="27" t="inlineStr">
        <is>
          <t>BOOK</t>
        </is>
      </c>
      <c r="C49" s="27" t="inlineStr">
        <is>
          <t>Сессия истекла (вход без потери выбора)</t>
        </is>
      </c>
      <c r="D49" s="27" t="inlineStr">
        <is>
          <t>Модалка</t>
        </is>
      </c>
      <c r="E49" s="27" t="inlineStr">
        <is>
          <t>Клиент</t>
        </is>
      </c>
      <c r="F49" s="27" t="inlineStr">
        <is>
          <t>BOOK-04</t>
        </is>
      </c>
      <c r="G49" s="27" t="n"/>
      <c r="H49" s="28" t="inlineStr">
        <is>
          <t>Модалка «Сессия истекла»</t>
        </is>
      </c>
      <c r="I49" s="28" t="inlineStr">
        <is>
          <t>Совпадает</t>
        </is>
      </c>
      <c r="J49" s="29">
        <f>COUNTIF(Связи!$C:$C,A49)+IF(G49="",0,COUNTIF(Навигация!$B:$B,G49))</f>
        <v/>
      </c>
      <c r="K49" s="29">
        <f>COUNTIF(Связи!$G:$G,A49)+COUNTIF(Навигация!$F:$F,A49)</f>
        <v/>
      </c>
      <c r="L49" s="29">
        <f>IF(D49="Дизайн-система","вне графа",IF(AND(K49=0,OR(D49="Состояние",D49="Служебная")),"демо / вход по событию",IF(K49=0,"⚠ сирота",IF(J49=0,"⚠ тупик","ок"))))</f>
        <v/>
      </c>
      <c r="M49" s="27" t="inlineStr">
        <is>
          <t>Добавлено при сверке с прототипом</t>
        </is>
      </c>
      <c r="N49" s="27" t="inlineStr">
        <is>
          <t>Сценарий «Сессия истекла» в панели разработчика · 25.09.2026: входит в продукт по схеме БД — серверные сессии с истечением (sessions.expires_at)</t>
        </is>
      </c>
    </row>
    <row r="50" ht="15" customHeight="1" s="13">
      <c r="A50" s="27" t="inlineStr">
        <is>
          <t>BOOK-M4</t>
        </is>
      </c>
      <c r="B50" s="27" t="inlineStr">
        <is>
          <t>BOOK</t>
        </is>
      </c>
      <c r="C50" s="27" t="inlineStr">
        <is>
          <t>Детали услуги</t>
        </is>
      </c>
      <c r="D50" s="27" t="inlineStr">
        <is>
          <t>Модалка</t>
        </is>
      </c>
      <c r="E50" s="27" t="inlineStr">
        <is>
          <t>Клиент</t>
        </is>
      </c>
      <c r="F50" s="27" t="inlineStr">
        <is>
          <t>BOOK-01</t>
        </is>
      </c>
      <c r="G50" s="27" t="n"/>
      <c r="H50" s="28" t="inlineStr">
        <is>
          <t>Модалка деталей услуги</t>
        </is>
      </c>
      <c r="I50" s="28" t="inlineStr">
        <is>
          <t>Совпадает</t>
        </is>
      </c>
      <c r="J50" s="29">
        <f>COUNTIF(Связи!$C:$C,A50)+IF(G50="",0,COUNTIF(Навигация!$B:$B,G50))</f>
        <v/>
      </c>
      <c r="K50" s="29">
        <f>COUNTIF(Связи!$G:$G,A50)+COUNTIF(Навигация!$F:$F,A50)</f>
        <v/>
      </c>
      <c r="L50" s="29">
        <f>IF(D50="Дизайн-система","вне графа",IF(AND(K50=0,OR(D50="Состояние",D50="Служебная")),"демо / вход по событию",IF(K50=0,"⚠ сирота",IF(J50=0,"⚠ тупик","ок"))))</f>
        <v/>
      </c>
      <c r="M50" s="27" t="inlineStr">
        <is>
          <t>Добавлено при сверке с прототипом</t>
        </is>
      </c>
      <c r="N50" s="27" t="inlineStr">
        <is>
          <t>Клик по карточке услуги · 25.09.2026: входит в продукт по схеме БД — описание, длительность и цена услуги (services)</t>
        </is>
      </c>
    </row>
    <row r="51" ht="15" customHeight="1" s="13">
      <c r="A51" s="27" t="inlineStr">
        <is>
          <t>BOOK-M5</t>
        </is>
      </c>
      <c r="B51" s="27" t="inlineStr">
        <is>
          <t>BOOK</t>
        </is>
      </c>
      <c r="C51" s="27" t="inlineStr">
        <is>
          <t>Мастер не выполняет выбранные услуги</t>
        </is>
      </c>
      <c r="D51" s="27" t="inlineStr">
        <is>
          <t>Модалка</t>
        </is>
      </c>
      <c r="E51" s="27" t="inlineStr">
        <is>
          <t>Клиент</t>
        </is>
      </c>
      <c r="F51" s="27" t="inlineStr">
        <is>
          <t>BOOK-01</t>
        </is>
      </c>
      <c r="G51" s="27" t="n"/>
      <c r="H51" s="28" t="inlineStr">
        <is>
          <t>Модалка «Мастер … не выполняет …»</t>
        </is>
      </c>
      <c r="I51" s="28" t="inlineStr">
        <is>
          <t>Совпадает</t>
        </is>
      </c>
      <c r="J51" s="29">
        <f>COUNTIF(Связи!$C:$C,A51)+IF(G51="",0,COUNTIF(Навигация!$B:$B,G51))</f>
        <v/>
      </c>
      <c r="K51" s="29">
        <f>COUNTIF(Связи!$G:$G,A51)+COUNTIF(Навигация!$F:$F,A51)</f>
        <v/>
      </c>
      <c r="L51" s="29">
        <f>IF(D51="Дизайн-система","вне графа",IF(AND(K51=0,OR(D51="Состояние",D51="Служебная")),"демо / вход по событию",IF(K51=0,"⚠ сирота",IF(J51=0,"⚠ тупик","ок"))))</f>
        <v/>
      </c>
      <c r="M51" s="27" t="inlineStr">
        <is>
          <t>Добавлено при сверке с прототипом</t>
        </is>
      </c>
      <c r="N51" s="27" t="inlineStr">
        <is>
          <t>Когда мастер выбран раньше услуг · 25.09.2026: входит в продукт по схеме БД — мастер должен выполнять все услуги визита (master_services)</t>
        </is>
      </c>
    </row>
    <row r="52" ht="15" customHeight="1" s="13">
      <c r="A52" s="27" t="inlineStr">
        <is>
          <t>BOOK-M6</t>
        </is>
      </c>
      <c r="B52" s="27" t="inlineStr">
        <is>
          <t>BOOK</t>
        </is>
      </c>
      <c r="C52" s="27" t="inlineStr">
        <is>
          <t>Выйти из записи?</t>
        </is>
      </c>
      <c r="D52" s="27" t="inlineStr">
        <is>
          <t>Модалка</t>
        </is>
      </c>
      <c r="E52" s="27" t="inlineStr">
        <is>
          <t>Клиент</t>
        </is>
      </c>
      <c r="F52" s="27" t="inlineStr">
        <is>
          <t>BOOK-01</t>
        </is>
      </c>
      <c r="G52" s="27" t="n"/>
      <c r="H52" s="28" t="inlineStr">
        <is>
          <t>Модалка «Выйти из записи?»</t>
        </is>
      </c>
      <c r="I52" s="28" t="inlineStr">
        <is>
          <t>Совпадает</t>
        </is>
      </c>
      <c r="J52" s="29">
        <f>COUNTIF(Связи!$C:$C,A52)+IF(G52="",0,COUNTIF(Навигация!$B:$B,G52))</f>
        <v/>
      </c>
      <c r="K52" s="29">
        <f>COUNTIF(Связи!$G:$G,A52)+COUNTIF(Навигация!$F:$F,A52)</f>
        <v/>
      </c>
      <c r="L52" s="29">
        <f>IF(D52="Дизайн-система","вне графа",IF(AND(K52=0,OR(D52="Состояние",D52="Служебная")),"демо / вход по событию",IF(K52=0,"⚠ сирота",IF(J52=0,"⚠ тупик","ок"))))</f>
        <v/>
      </c>
      <c r="M52" s="27" t="inlineStr">
        <is>
          <t>Добавлено при сверке с прототипом</t>
        </is>
      </c>
      <c r="N52" s="27" t="inlineStr">
        <is>
          <t>Логотип в шапке записи или «← Назад» на шаге услуг · 25.09.2026: входит в продукт по схеме БД — при выходе бронь клиента удаляется (slot_holds)</t>
        </is>
      </c>
    </row>
    <row r="53" ht="15" customHeight="1" s="13">
      <c r="A53" s="27" t="inlineStr">
        <is>
          <t>CAB-10</t>
        </is>
      </c>
      <c r="B53" s="27" t="inlineStr">
        <is>
          <t>CAB</t>
        </is>
      </c>
      <c r="C53" s="27" t="inlineStr">
        <is>
          <t>Удаление аккаунта</t>
        </is>
      </c>
      <c r="D53" s="27" t="inlineStr">
        <is>
          <t>Модалка</t>
        </is>
      </c>
      <c r="E53" s="27" t="inlineStr">
        <is>
          <t>Клиент</t>
        </is>
      </c>
      <c r="F53" s="27" t="inlineStr">
        <is>
          <t>CAB-07</t>
        </is>
      </c>
      <c r="G53" s="27" t="n"/>
      <c r="H53" s="28" t="inlineStr">
        <is>
          <t>Модалка «Удалить аккаунт»</t>
        </is>
      </c>
      <c r="I53" s="28" t="inlineStr">
        <is>
          <t>Совпадает</t>
        </is>
      </c>
      <c r="J53" s="29">
        <f>COUNTIF(Связи!$C:$C,A53)+IF(G53="",0,COUNTIF(Навигация!$B:$B,G53))</f>
        <v/>
      </c>
      <c r="K53" s="29">
        <f>COUNTIF(Связи!$G:$G,A53)+COUNTIF(Навигация!$F:$F,A53)</f>
        <v/>
      </c>
      <c r="L53" s="29">
        <f>IF(D53="Дизайн-система","вне графа",IF(AND(K53=0,OR(D53="Состояние",D53="Служебная")),"демо / вход по событию",IF(K53=0,"⚠ сирота",IF(J53=0,"⚠ тупик","ок"))))</f>
        <v/>
      </c>
      <c r="M53" s="27" t="inlineStr">
        <is>
          <t>Добавлено при сверке с прототипом</t>
        </is>
      </c>
      <c r="N53" s="27" t="inlineStr">
        <is>
          <t>Подтверждение словом «УДАЛИТЬ» · 25.09.2026: входит в продукт по схеме БД — удаление аккаунта — обезличивание (users.deleted_at), паспорт: функция клиента 9, сценарий 17</t>
        </is>
      </c>
    </row>
    <row r="54" ht="15" customHeight="1" s="13">
      <c r="A54" s="27" t="inlineStr">
        <is>
          <t>A-33</t>
        </is>
      </c>
      <c r="B54" s="27" t="inlineStr">
        <is>
          <t>A</t>
        </is>
      </c>
      <c r="C54" s="27" t="inlineStr">
        <is>
          <t>Галерея состояний сотрудников</t>
        </is>
      </c>
      <c r="D54" s="27" t="inlineStr">
        <is>
          <t>Служебная</t>
        </is>
      </c>
      <c r="E54" s="27" t="inlineStr">
        <is>
          <t>Администратор</t>
        </is>
      </c>
      <c r="F54" s="27" t="n"/>
      <c r="G54" s="27" t="n"/>
      <c r="H54" s="28" t="inlineStr">
        <is>
          <t>#/staff/states-gallery · «Сотрудники · Галерея состояний»</t>
        </is>
      </c>
      <c r="I54" s="28" t="inlineStr">
        <is>
          <t>Лишняя в проекте</t>
        </is>
      </c>
      <c r="J54" s="29">
        <f>COUNTIF(Связи!$C:$C,A54)+IF(G54="",0,COUNTIF(Навигация!$B:$B,G54))</f>
        <v/>
      </c>
      <c r="K54" s="29">
        <f>COUNTIF(Связи!$G:$G,A54)+COUNTIF(Навигация!$F:$F,A54)</f>
        <v/>
      </c>
      <c r="L54" s="29">
        <f>IF(D54="Дизайн-система","вне графа",IF(AND(K54=0,OR(D54="Состояние",D54="Служебная")),"демо / вход по событию",IF(K54=0,"⚠ сирота",IF(J54=0,"⚠ тупик","ок"))))</f>
        <v/>
      </c>
      <c r="M54" s="27" t="inlineStr">
        <is>
          <t>Добавлено при сверке с прототипом</t>
        </is>
      </c>
      <c r="N54" s="27" t="inlineStr">
        <is>
          <t>Витрина A-S1, A-S2, A-S3, SYS-03, SYS-04 для ревью</t>
        </is>
      </c>
    </row>
    <row r="55" ht="15" customHeight="1" s="13">
      <c r="A55" s="27" t="inlineStr">
        <is>
          <t>SYS-05</t>
        </is>
      </c>
      <c r="B55" s="27" t="inlineStr">
        <is>
          <t>SYS</t>
        </is>
      </c>
      <c r="C55" s="27" t="inlineStr">
        <is>
          <t>Технические работы</t>
        </is>
      </c>
      <c r="D55" s="27" t="inlineStr">
        <is>
          <t>Служебная</t>
        </is>
      </c>
      <c r="E55" s="27" t="inlineStr">
        <is>
          <t>Все</t>
        </is>
      </c>
      <c r="F55" s="27" t="n"/>
      <c r="G55" s="27" t="n"/>
      <c r="H55" s="28" t="inlineStr">
        <is>
          <t>#/maintenance · «Технические работы»</t>
        </is>
      </c>
      <c r="I55" s="28" t="inlineStr">
        <is>
          <t>Совпадает</t>
        </is>
      </c>
      <c r="J55" s="29">
        <f>COUNTIF(Связи!$C:$C,A55)+IF(G55="",0,COUNTIF(Навигация!$B:$B,G55))</f>
        <v/>
      </c>
      <c r="K55" s="29">
        <f>COUNTIF(Связи!$G:$G,A55)+COUNTIF(Навигация!$F:$F,A55)</f>
        <v/>
      </c>
      <c r="L55" s="29">
        <f>IF(D55="Дизайн-система","вне графа",IF(AND(K55=0,OR(D55="Состояние",D55="Служебная")),"демо / вход по событию",IF(K55=0,"⚠ сирота",IF(J55=0,"⚠ тупик","ок"))))</f>
        <v/>
      </c>
      <c r="M55" s="27" t="inlineStr">
        <is>
          <t>Добавлено при сверке с прототипом</t>
        </is>
      </c>
      <c r="N55" s="27" t="inlineStr">
        <is>
          <t>Телефон студии для записи · 25.09.2026: входит в продукт по схеме БД — режим технических работ (settings.is_maintenance), паспорт: функция администратора 10</t>
        </is>
      </c>
    </row>
    <row r="56" ht="15" customHeight="1" s="13">
      <c r="A56" s="27" t="inlineStr">
        <is>
          <t>SYS-06</t>
        </is>
      </c>
      <c r="B56" s="27" t="inlineStr">
        <is>
          <t>SYS</t>
        </is>
      </c>
      <c r="C56" s="27" t="inlineStr">
        <is>
          <t>Корень прототипа #/</t>
        </is>
      </c>
      <c r="D56" s="27" t="inlineStr">
        <is>
          <t>Служебная</t>
        </is>
      </c>
      <c r="E56" s="27" t="inlineStr">
        <is>
          <t>Все</t>
        </is>
      </c>
      <c r="F56" s="27" t="n"/>
      <c r="G56" s="27" t="n"/>
      <c r="H56" s="28" t="inlineStr">
        <is>
          <t>#/ · «Домашняя (редирект в зависимости от авторизации)»</t>
        </is>
      </c>
      <c r="I56" s="28" t="inlineStr">
        <is>
          <t>Лишняя в проекте</t>
        </is>
      </c>
      <c r="J56" s="29">
        <f>COUNTIF(Связи!$C:$C,A56)+IF(G56="",0,COUNTIF(Навигация!$B:$B,G56))</f>
        <v/>
      </c>
      <c r="K56" s="29">
        <f>COUNTIF(Связи!$G:$G,A56)+COUNTIF(Навигация!$F:$F,A56)</f>
        <v/>
      </c>
      <c r="L56" s="29">
        <f>IF(D56="Дизайн-система","вне графа",IF(AND(K56=0,OR(D56="Состояние",D56="Служебная")),"демо / вход по событию",IF(K56=0,"⚠ сирота",IF(J56=0,"⚠ тупик","ок"))))</f>
        <v/>
      </c>
      <c r="M56" s="27" t="inlineStr">
        <is>
          <t>Добавлено при сверке с прототипом</t>
        </is>
      </c>
      <c r="N56" s="27" t="inlineStr">
        <is>
          <t>Редирект: сотрудник → A-01, клиент → CAB-01, гость → лендинг. Исправлено 25.09.2026</t>
        </is>
      </c>
    </row>
    <row r="57" ht="15" customHeight="1" s="13">
      <c r="A57" s="27" t="inlineStr">
        <is>
          <t>SYS-07</t>
        </is>
      </c>
      <c r="B57" s="27" t="inlineStr">
        <is>
          <t>SYS</t>
        </is>
      </c>
      <c r="C57" s="27" t="inlineStr">
        <is>
          <t>Панель разработчика и «Карта прототипа»</t>
        </is>
      </c>
      <c r="D57" s="27" t="inlineStr">
        <is>
          <t>Служебная</t>
        </is>
      </c>
      <c r="E57" s="27" t="inlineStr">
        <is>
          <t>Все</t>
        </is>
      </c>
      <c r="F57" s="27" t="n"/>
      <c r="G57" s="27" t="n"/>
      <c r="H57" s="28" t="inlineStr">
        <is>
          <t>Панель разработчика (шестерёнка) + оверлей «Карта прототипа»</t>
        </is>
      </c>
      <c r="I57" s="28" t="inlineStr">
        <is>
          <t>Лишняя в проекте</t>
        </is>
      </c>
      <c r="J57" s="29">
        <f>COUNTIF(Связи!$C:$C,A57)+IF(G57="",0,COUNTIF(Навигация!$B:$B,G57))</f>
        <v/>
      </c>
      <c r="K57" s="29">
        <f>COUNTIF(Связи!$G:$G,A57)+COUNTIF(Навигация!$F:$F,A57)</f>
        <v/>
      </c>
      <c r="L57" s="29">
        <f>IF(D57="Дизайн-система","вне графа",IF(AND(K57=0,OR(D57="Состояние",D57="Служебная")),"демо / вход по событию",IF(K57=0,"⚠ сирота",IF(J57=0,"⚠ тупик","ок"))))</f>
        <v/>
      </c>
      <c r="M57" s="27" t="inlineStr">
        <is>
          <t>Добавлено при сверке с прототипом</t>
        </is>
      </c>
      <c r="N57" s="27" t="inlineStr">
        <is>
          <t>Инструмент прототипа, в продукт не входит</t>
        </is>
      </c>
    </row>
    <row r="58" ht="15" customHeight="1" s="13">
      <c r="A58" s="27" t="inlineStr">
        <is>
          <t>A-12</t>
        </is>
      </c>
      <c r="B58" s="27" t="inlineStr">
        <is>
          <t>A</t>
        </is>
      </c>
      <c r="C58" s="27" t="inlineStr">
        <is>
          <t>Фото работ визита (загрузка, согласие клиента, публикация в галерее)</t>
        </is>
      </c>
      <c r="D58" s="27" t="inlineStr">
        <is>
          <t>Модалка</t>
        </is>
      </c>
      <c r="E58" s="27" t="inlineStr">
        <is>
          <t>Администратор</t>
        </is>
      </c>
      <c r="F58" s="27" t="inlineStr">
        <is>
          <t>A-09</t>
        </is>
      </c>
      <c r="G58" s="27" t="n"/>
      <c r="H58" s="28" t="inlineStr">
        <is>
          <t>Диалог «Фото работ» — из поповера завершённой записи и из истории визитов</t>
        </is>
      </c>
      <c r="I58" s="28" t="inlineStr">
        <is>
          <t>Совпадает</t>
        </is>
      </c>
      <c r="J58" s="29">
        <f>COUNTIF(Связи!$C:$C,A58)+IF(G58="",0,COUNTIF(Навигация!$B:$B,G58))</f>
        <v/>
      </c>
      <c r="K58" s="29">
        <f>COUNTIF(Связи!$G:$G,A58)+COUNTIF(Навигация!$F:$F,A58)</f>
        <v/>
      </c>
      <c r="L58" s="29">
        <f>IF(D58="Дизайн-система","вне графа",IF(AND(K58=0,OR(D58="Состояние",D58="Служебная")),"демо / вход по событию",IF(K58=0,"⚠ сирота",IF(J58=0,"⚠ тупик","ок"))))</f>
        <v/>
      </c>
      <c r="M58" s="27" t="inlineStr">
        <is>
          <t>Добавлено 25.09.2026 по схеме БД (work_photos)</t>
        </is>
      </c>
      <c r="N58" s="27" t="inlineStr">
        <is>
          <t>Загрузка фото, подпись, отметки «Клиент разрешил публикацию» и «В галерее «Наши работы»». Без согласия опубликовать нельзя. Опубликованные фото — в профиле мастера (PUB-05)</t>
        </is>
      </c>
    </row>
    <row r="59" ht="15" customHeight="1" s="13">
      <c r="A59" s="27" t="inlineStr">
        <is>
          <t>A-20d</t>
        </is>
      </c>
      <c r="B59" s="27" t="inlineStr">
        <is>
          <t>A</t>
        </is>
      </c>
      <c r="C59" s="27" t="inlineStr">
        <is>
          <t>Особые дни студии (праздники, санитарные, сокращённые и дополнительные рабочие дни)</t>
        </is>
      </c>
      <c r="D59" s="27" t="inlineStr">
        <is>
          <t>Панель</t>
        </is>
      </c>
      <c r="E59" s="27" t="inlineStr">
        <is>
          <t>Администратор</t>
        </is>
      </c>
      <c r="F59" s="27" t="inlineStr">
        <is>
          <t>A-20</t>
        </is>
      </c>
      <c r="G59" s="27" t="n"/>
      <c r="H59" s="28" t="inlineStr">
        <is>
          <t>Блок «Особые дни студии» на #/staff/admin/masters/schedule</t>
        </is>
      </c>
      <c r="I59" s="28" t="inlineStr">
        <is>
          <t>Совпадает</t>
        </is>
      </c>
      <c r="J59" s="29">
        <f>COUNTIF(Связи!$C:$C,A59)+IF(G59="",0,COUNTIF(Навигация!$B:$B,G59))</f>
        <v/>
      </c>
      <c r="K59" s="29">
        <f>COUNTIF(Связи!$G:$G,A59)+COUNTIF(Навигация!$F:$F,A59)</f>
        <v/>
      </c>
      <c r="L59" s="29">
        <f>IF(D59="Дизайн-система","вне графа",IF(AND(K59=0,OR(D59="Состояние",D59="Служебная")),"демо / вход по событию",IF(K59=0,"⚠ сирота",IF(J59=0,"⚠ тупик","ок"))))</f>
        <v/>
      </c>
      <c r="M59" s="27" t="inlineStr">
        <is>
          <t>Добавлено 25.09.2026 по схеме БД (studio_day_overrides)</t>
        </is>
      </c>
      <c r="N59" s="27" t="inlineStr">
        <is>
          <t>Список с «Удалить» и форма «Добавить особый день». До сохранения показывает записи, которые не помещаются в новый режим. В сетке смен особый день отмечен рамкой</t>
        </is>
      </c>
    </row>
    <row r="60" ht="15" customHeight="1" s="13">
      <c r="A60" s="27" t="inlineStr">
        <is>
          <t>A-22p</t>
        </is>
      </c>
      <c r="B60" s="27" t="inlineStr">
        <is>
          <t>A</t>
        </is>
      </c>
      <c r="C60" s="27" t="inlineStr">
        <is>
          <t>Новый график мастера с даты</t>
        </is>
      </c>
      <c r="D60" s="27" t="inlineStr">
        <is>
          <t>Панель</t>
        </is>
      </c>
      <c r="E60" s="27" t="inlineStr">
        <is>
          <t>Администратор</t>
        </is>
      </c>
      <c r="F60" s="27" t="inlineStr">
        <is>
          <t>A-22</t>
        </is>
      </c>
      <c r="G60" s="27" t="n"/>
      <c r="H60" s="28" t="inlineStr">
        <is>
          <t>Форма «Новый график с даты» в карточке мастера</t>
        </is>
      </c>
      <c r="I60" s="28" t="inlineStr">
        <is>
          <t>Совпадает</t>
        </is>
      </c>
      <c r="J60" s="29">
        <f>COUNTIF(Связи!$C:$C,A60)+IF(G60="",0,COUNTIF(Навигация!$B:$B,G60))</f>
        <v/>
      </c>
      <c r="K60" s="29">
        <f>COUNTIF(Связи!$G:$G,A60)+COUNTIF(Навигация!$F:$F,A60)</f>
        <v/>
      </c>
      <c r="L60" s="29">
        <f>IF(D60="Дизайн-система","вне графа",IF(AND(K60=0,OR(D60="Состояние",D60="Служебная")),"демо / вход по событию",IF(K60=0,"⚠ сирота",IF(J60=0,"⚠ тупик","ок"))))</f>
        <v/>
      </c>
      <c r="M60" s="27" t="inlineStr">
        <is>
          <t>Добавлено 25.09.2026 по схеме БД (master_weekly_hours.valid_from)</t>
        </is>
      </c>
      <c r="N60" s="27" t="inlineStr">
        <is>
          <t>Дата начала, рабочие дни (пн и вс недоступны), часы смены. Показывает записи, которые не попадают в новый график. После сохранения — блок «Новый график с …» и «Отменить изменение»</t>
        </is>
      </c>
    </row>
    <row r="61" ht="15" customHeight="1" s="13"/>
    <row r="62" ht="15" customHeight="1" s="13"/>
    <row r="63" ht="15" customHeight="1" s="13"/>
    <row r="64" ht="15" customHeight="1" s="13"/>
    <row r="65" ht="15" customHeight="1" s="13"/>
    <row r="66" ht="15" customHeight="1" s="13"/>
    <row r="67" ht="15" customHeight="1" s="13"/>
    <row r="68" ht="15" customHeight="1" s="13"/>
    <row r="69" ht="15" customHeight="1" s="13"/>
    <row r="70" ht="15" customHeight="1" s="13"/>
    <row r="71" ht="15" customHeight="1" s="13"/>
    <row r="72" ht="15" customHeight="1" s="13"/>
    <row r="73" ht="15" customHeight="1" s="13"/>
    <row r="74" ht="15" customHeight="1" s="13"/>
    <row r="75" ht="15" customHeight="1" s="13"/>
    <row r="76" ht="15" customHeight="1" s="13"/>
    <row r="77" ht="15" customHeight="1" s="13"/>
    <row r="78" ht="15" customHeight="1" s="13"/>
    <row r="79" ht="15" customHeight="1" s="13"/>
    <row r="80" ht="15" customHeight="1" s="13"/>
    <row r="81" ht="15" customHeight="1" s="13"/>
    <row r="82" ht="15" customHeight="1" s="13"/>
    <row r="83" ht="15" customHeight="1" s="13"/>
    <row r="84" ht="15" customHeight="1" s="13"/>
    <row r="85" ht="15" customHeight="1" s="13"/>
    <row r="86" ht="15" customHeight="1" s="13"/>
    <row r="87" ht="15" customHeight="1" s="13"/>
    <row r="88" ht="15" customHeight="1" s="13"/>
    <row r="89" ht="15" customHeight="1" s="13"/>
    <row r="90" ht="15" customHeight="1" s="13"/>
    <row r="91" ht="15" customHeight="1" s="13"/>
    <row r="92" ht="15" customHeight="1" s="13"/>
    <row r="93" ht="15" customHeight="1" s="13"/>
    <row r="94" ht="15" customHeight="1" s="13"/>
    <row r="95" ht="15" customHeight="1" s="13"/>
    <row r="96" ht="15" customHeight="1" s="13"/>
    <row r="97" ht="15" customHeight="1" s="13"/>
    <row r="98" ht="15" customHeight="1" s="13"/>
    <row r="99" ht="15" customHeight="1" s="13"/>
    <row r="100" ht="15" customHeight="1" s="13"/>
    <row r="101" ht="15" customHeight="1" s="13"/>
    <row r="102" ht="15" customHeight="1" s="13"/>
    <row r="103" ht="15" customHeight="1" s="13"/>
    <row r="104" ht="15" customHeight="1" s="13"/>
    <row r="105" ht="15" customHeight="1" s="13"/>
    <row r="106" ht="15" customHeight="1" s="13"/>
    <row r="107" ht="15" customHeight="1" s="13"/>
  </sheetData>
  <autoFilter ref="A1:N60"/>
  <conditionalFormatting sqref="L2:L500">
    <cfRule type="expression" rank="0" priority="2" equalAverage="0" aboveAverage="0" dxfId="5" text="" percent="0" bottom="0">
      <formula>LEFT(L2,1)="⚠"</formula>
    </cfRule>
  </conditionalFormatting>
  <dataValidations count="2">
    <dataValidation sqref="I2:I500" showDropDown="0" showInputMessage="0" showErrorMessage="0" allowBlank="1" type="list" errorStyle="stop" operator="between">
      <formula1>"Не сверено,Совпадает,Другое название,Нет в проекте,Лишняя в проекте"</formula1>
      <formula2>0</formula2>
    </dataValidation>
    <dataValidation sqref="D2:D500" showDropDown="0" showInputMessage="0" showErrorMessage="0" allowBlank="1" type="list" errorStyle="stop" operator="between">
      <formula1>"Страница,Модалка,Шторка,Панель,Поповер,Состояние,Служебная,Дизайн-система"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2" min="1" max="2"/>
    <col width="22" customWidth="1" style="12" min="3" max="3"/>
    <col width="26" customWidth="1" style="12" min="4" max="4"/>
    <col width="15" customWidth="1" style="12" min="5" max="5"/>
    <col width="11" customWidth="1" style="12" min="6" max="6"/>
    <col width="34" customWidth="1" style="12" min="7" max="7"/>
    <col width="28" customWidth="1" style="12" min="8" max="8"/>
    <col width="40" customWidth="1" style="12" min="9" max="9"/>
    <col width="16" customWidth="1" style="12" min="10" max="10"/>
    <col width="60" customWidth="1" style="13" min="11" max="11"/>
  </cols>
  <sheetData>
    <row r="1" ht="31.5" customHeight="1" s="13">
      <c r="A1" s="25" t="inlineStr">
        <is>
          <t>ID</t>
        </is>
      </c>
      <c r="B1" s="25" t="inlineStr">
        <is>
          <t>Набор</t>
        </is>
      </c>
      <c r="C1" s="25" t="inlineStr">
        <is>
          <t>Элемент</t>
        </is>
      </c>
      <c r="D1" s="25" t="inlineStr">
        <is>
          <t>Пункт</t>
        </is>
      </c>
      <c r="E1" s="25" t="inlineStr">
        <is>
          <t>Действие</t>
        </is>
      </c>
      <c r="F1" s="25" t="inlineStr">
        <is>
          <t>Куда (ID)</t>
        </is>
      </c>
      <c r="G1" s="25" t="inlineStr">
        <is>
          <t>Куда (название)</t>
        </is>
      </c>
      <c r="H1" s="25" t="inlineStr">
        <is>
          <t>Где стоит</t>
        </is>
      </c>
      <c r="I1" s="25" t="inlineStr">
        <is>
          <t>Примечание</t>
        </is>
      </c>
      <c r="J1" s="25" t="inlineStr">
        <is>
          <t>Статус</t>
        </is>
      </c>
      <c r="K1" s="25" t="inlineStr">
        <is>
          <t>Факт в прототипе</t>
        </is>
      </c>
    </row>
    <row r="2" ht="15" customHeight="1" s="13">
      <c r="A2" s="27" t="inlineStr">
        <is>
          <t>N-01</t>
        </is>
      </c>
      <c r="B2" s="27" t="inlineStr">
        <is>
          <t>NAV-LAND</t>
        </is>
      </c>
      <c r="C2" s="27" t="inlineStr">
        <is>
          <t>Шапка лендинга</t>
        </is>
      </c>
      <c r="D2" s="27" t="inlineStr">
        <is>
          <t>Логотип</t>
        </is>
      </c>
      <c r="E2" s="27" t="inlineStr">
        <is>
          <t>Якорь</t>
        </is>
      </c>
      <c r="F2" s="27" t="inlineStr">
        <is>
          <t>ANCHOR</t>
        </is>
      </c>
      <c r="G2" s="29">
        <f>IF(F2="","⚠ не определено",IF(F2="ANCHOR","Прокрутка к секции",IF(F2="EXT","Внешняя ссылка",IF(F2="PARENT","Вернуться туда, откуда открыто",IFERROR(INDEX(Реестр!$C:$C,MATCH(F2,Реестр!$A:$A,0)),"⚠ нет в реестре")))))</f>
        <v/>
      </c>
      <c r="H2" s="27" t="inlineStr">
        <is>
          <t>PUB-01, PUB-05</t>
        </is>
      </c>
      <c r="I2" s="27" t="inlineStr">
        <is>
          <t>С профиля мастера — переход на PUB-01</t>
        </is>
      </c>
      <c r="J2" s="28" t="inlineStr">
        <is>
          <t>Связано</t>
        </is>
      </c>
      <c r="K2" s="27" t="inlineStr">
        <is>
          <t>Лендинг: прокрутка наверх. PUB-05: логотип ведёт на лендинг</t>
        </is>
      </c>
    </row>
    <row r="3" ht="15" customHeight="1" s="13">
      <c r="A3" s="27" t="inlineStr">
        <is>
          <t>N-02</t>
        </is>
      </c>
      <c r="B3" s="27" t="inlineStr">
        <is>
          <t>NAV-LAND</t>
        </is>
      </c>
      <c r="C3" s="27" t="inlineStr">
        <is>
          <t>Шапка лендинга</t>
        </is>
      </c>
      <c r="D3" s="27" t="inlineStr">
        <is>
          <t>Услуги</t>
        </is>
      </c>
      <c r="E3" s="27" t="inlineStr">
        <is>
          <t>Якорь</t>
        </is>
      </c>
      <c r="F3" s="27" t="inlineStr">
        <is>
          <t>ANCHOR</t>
        </is>
      </c>
      <c r="G3" s="29">
        <f>IF(F3="","⚠ не определено",IF(F3="ANCHOR","Прокрутка к секции",IF(F3="EXT","Внешняя ссылка",IF(F3="PARENT","Вернуться туда, откуда открыто",IFERROR(INDEX(Реестр!$C:$C,MATCH(F3,Реестр!$A:$A,0)),"⚠ нет в реестре")))))</f>
        <v/>
      </c>
      <c r="H3" s="27" t="inlineStr">
        <is>
          <t>PUB-01, PUB-05</t>
        </is>
      </c>
      <c r="I3" s="27" t="inlineStr">
        <is>
          <t>С PUB-05 — переход на PUB-01 к секции</t>
        </is>
      </c>
      <c r="J3" s="28" t="inlineStr">
        <is>
          <t>Связано</t>
        </is>
      </c>
      <c r="K3" s="27" t="inlineStr">
        <is>
          <t>Есть на лендинге. На PUB-05 шапки с якорями нет</t>
        </is>
      </c>
    </row>
    <row r="4" ht="15" customHeight="1" s="13">
      <c r="A4" s="27" t="inlineStr">
        <is>
          <t>N-03</t>
        </is>
      </c>
      <c r="B4" s="27" t="inlineStr">
        <is>
          <t>NAV-LAND</t>
        </is>
      </c>
      <c r="C4" s="27" t="inlineStr">
        <is>
          <t>Шапка лендинга</t>
        </is>
      </c>
      <c r="D4" s="27" t="inlineStr">
        <is>
          <t>Как это работает</t>
        </is>
      </c>
      <c r="E4" s="27" t="inlineStr">
        <is>
          <t>Якорь</t>
        </is>
      </c>
      <c r="F4" s="27" t="inlineStr">
        <is>
          <t>ANCHOR</t>
        </is>
      </c>
      <c r="G4" s="29">
        <f>IF(F4="","⚠ не определено",IF(F4="ANCHOR","Прокрутка к секции",IF(F4="EXT","Внешняя ссылка",IF(F4="PARENT","Вернуться туда, откуда открыто",IFERROR(INDEX(Реестр!$C:$C,MATCH(F4,Реестр!$A:$A,0)),"⚠ нет в реестре")))))</f>
        <v/>
      </c>
      <c r="H4" s="27" t="inlineStr">
        <is>
          <t>PUB-01, PUB-05</t>
        </is>
      </c>
      <c r="I4" s="27" t="n"/>
      <c r="J4" s="28" t="inlineStr">
        <is>
          <t>Связано</t>
        </is>
      </c>
      <c r="K4" s="27" t="inlineStr">
        <is>
          <t>Есть на лендинге. На PUB-05 нет</t>
        </is>
      </c>
    </row>
    <row r="5" ht="15" customHeight="1" s="13">
      <c r="A5" s="27" t="inlineStr">
        <is>
          <t>N-04</t>
        </is>
      </c>
      <c r="B5" s="27" t="inlineStr">
        <is>
          <t>NAV-LAND</t>
        </is>
      </c>
      <c r="C5" s="27" t="inlineStr">
        <is>
          <t>Шапка лендинга</t>
        </is>
      </c>
      <c r="D5" s="27" t="inlineStr">
        <is>
          <t>Мастера</t>
        </is>
      </c>
      <c r="E5" s="27" t="inlineStr">
        <is>
          <t>Якорь</t>
        </is>
      </c>
      <c r="F5" s="27" t="inlineStr">
        <is>
          <t>ANCHOR</t>
        </is>
      </c>
      <c r="G5" s="29">
        <f>IF(F5="","⚠ не определено",IF(F5="ANCHOR","Прокрутка к секции",IF(F5="EXT","Внешняя ссылка",IF(F5="PARENT","Вернуться туда, откуда открыто",IFERROR(INDEX(Реестр!$C:$C,MATCH(F5,Реестр!$A:$A,0)),"⚠ нет в реестре")))))</f>
        <v/>
      </c>
      <c r="H5" s="27" t="inlineStr">
        <is>
          <t>PUB-01, PUB-05</t>
        </is>
      </c>
      <c r="I5" s="27" t="n"/>
      <c r="J5" s="28" t="inlineStr">
        <is>
          <t>Связано</t>
        </is>
      </c>
      <c r="K5" s="27" t="inlineStr">
        <is>
          <t>Есть на лендинге. На PUB-05 нет</t>
        </is>
      </c>
    </row>
    <row r="6" ht="15" customHeight="1" s="13">
      <c r="A6" s="27" t="inlineStr">
        <is>
          <t>N-05</t>
        </is>
      </c>
      <c r="B6" s="27" t="inlineStr">
        <is>
          <t>NAV-LAND</t>
        </is>
      </c>
      <c r="C6" s="27" t="inlineStr">
        <is>
          <t>Шапка лендинга</t>
        </is>
      </c>
      <c r="D6" s="27" t="inlineStr">
        <is>
          <t>Работы</t>
        </is>
      </c>
      <c r="E6" s="27" t="inlineStr">
        <is>
          <t>Якорь</t>
        </is>
      </c>
      <c r="F6" s="27" t="inlineStr">
        <is>
          <t>ANCHOR</t>
        </is>
      </c>
      <c r="G6" s="29">
        <f>IF(F6="","⚠ не определено",IF(F6="ANCHOR","Прокрутка к секции",IF(F6="EXT","Внешняя ссылка",IF(F6="PARENT","Вернуться туда, откуда открыто",IFERROR(INDEX(Реестр!$C:$C,MATCH(F6,Реестр!$A:$A,0)),"⚠ нет в реестре")))))</f>
        <v/>
      </c>
      <c r="H6" s="27" t="inlineStr">
        <is>
          <t>PUB-01, PUB-05</t>
        </is>
      </c>
      <c r="I6" s="27" t="n"/>
      <c r="J6" s="28" t="inlineStr">
        <is>
          <t>Связано</t>
        </is>
      </c>
      <c r="K6" s="27" t="inlineStr">
        <is>
          <t>Есть на лендинге. На PUB-05 нет</t>
        </is>
      </c>
    </row>
    <row r="7" ht="15" customHeight="1" s="13">
      <c r="A7" s="27" t="inlineStr">
        <is>
          <t>N-06</t>
        </is>
      </c>
      <c r="B7" s="27" t="inlineStr">
        <is>
          <t>NAV-LAND</t>
        </is>
      </c>
      <c r="C7" s="27" t="inlineStr">
        <is>
          <t>Шапка лендинга</t>
        </is>
      </c>
      <c r="D7" s="27" t="inlineStr">
        <is>
          <t>Контакты</t>
        </is>
      </c>
      <c r="E7" s="27" t="inlineStr">
        <is>
          <t>Якорь</t>
        </is>
      </c>
      <c r="F7" s="27" t="inlineStr">
        <is>
          <t>ANCHOR</t>
        </is>
      </c>
      <c r="G7" s="29">
        <f>IF(F7="","⚠ не определено",IF(F7="ANCHOR","Прокрутка к секции",IF(F7="EXT","Внешняя ссылка",IF(F7="PARENT","Вернуться туда, откуда открыто",IFERROR(INDEX(Реестр!$C:$C,MATCH(F7,Реестр!$A:$A,0)),"⚠ нет в реестре")))))</f>
        <v/>
      </c>
      <c r="H7" s="27" t="inlineStr">
        <is>
          <t>PUB-01, PUB-05</t>
        </is>
      </c>
      <c r="I7" s="27" t="n"/>
      <c r="J7" s="28" t="inlineStr">
        <is>
          <t>Связано</t>
        </is>
      </c>
      <c r="K7" s="27" t="inlineStr">
        <is>
          <t>Есть на лендинге. На PUB-05 нет</t>
        </is>
      </c>
    </row>
    <row r="8" ht="23.85" customHeight="1" s="13">
      <c r="A8" s="27" t="inlineStr">
        <is>
          <t>N-07</t>
        </is>
      </c>
      <c r="B8" s="27" t="inlineStr">
        <is>
          <t>NAV-LAND</t>
        </is>
      </c>
      <c r="C8" s="27" t="inlineStr">
        <is>
          <t>Шапка лендинга</t>
        </is>
      </c>
      <c r="D8" s="27" t="inlineStr">
        <is>
          <t>Записаться</t>
        </is>
      </c>
      <c r="E8" s="27" t="inlineStr">
        <is>
          <t>Переход</t>
        </is>
      </c>
      <c r="F8" s="27" t="inlineStr">
        <is>
          <t>BOOK-01</t>
        </is>
      </c>
      <c r="G8" s="29">
        <f>IF(F8="","⚠ не определено",IF(F8="ANCHOR","Прокрутка к секции",IF(F8="EXT","Внешняя ссылка",IF(F8="PARENT","Вернуться туда, откуда открыто",IFERROR(INDEX(Реестр!$C:$C,MATCH(F8,Реестр!$A:$A,0)),"⚠ нет в реестре")))))</f>
        <v/>
      </c>
      <c r="H8" s="27" t="inlineStr">
        <is>
          <t>PUB-01, PUB-05</t>
        </is>
      </c>
      <c r="I8" s="27" t="n"/>
      <c r="J8" s="28" t="inlineStr">
        <is>
          <t>Нет элемента</t>
        </is>
      </c>
      <c r="K8" s="27" t="inlineStr">
        <is>
          <t>В шапке «Записаться» нет. «Записаться онлайн» — в первом экране и финальном призыве</t>
        </is>
      </c>
    </row>
    <row r="9" ht="15" customHeight="1" s="13">
      <c r="A9" s="27" t="inlineStr">
        <is>
          <t>N-08</t>
        </is>
      </c>
      <c r="B9" s="27" t="inlineStr">
        <is>
          <t>NAV-LAND</t>
        </is>
      </c>
      <c r="C9" s="27" t="inlineStr">
        <is>
          <t>Шапка лендинга</t>
        </is>
      </c>
      <c r="D9" s="27" t="inlineStr">
        <is>
          <t>Войти</t>
        </is>
      </c>
      <c r="E9" s="27" t="inlineStr">
        <is>
          <t>Переход</t>
        </is>
      </c>
      <c r="F9" s="27" t="inlineStr">
        <is>
          <t>AUTH-01</t>
        </is>
      </c>
      <c r="G9" s="29">
        <f>IF(F9="","⚠ не определено",IF(F9="ANCHOR","Прокрутка к секции",IF(F9="EXT","Внешняя ссылка",IF(F9="PARENT","Вернуться туда, откуда открыто",IFERROR(INDEX(Реестр!$C:$C,MATCH(F9,Реестр!$A:$A,0)),"⚠ нет в реестре")))))</f>
        <v/>
      </c>
      <c r="H9" s="27" t="inlineStr">
        <is>
          <t>PUB-01, PUB-05</t>
        </is>
      </c>
      <c r="I9" s="27" t="inlineStr">
        <is>
          <t>Для неавторизованного</t>
        </is>
      </c>
      <c r="J9" s="28" t="inlineStr">
        <is>
          <t>Связано</t>
        </is>
      </c>
      <c r="K9" s="27" t="inlineStr">
        <is>
          <t>«Войти» → #/login</t>
        </is>
      </c>
    </row>
    <row r="10" ht="15" customHeight="1" s="13">
      <c r="A10" s="27" t="inlineStr">
        <is>
          <t>N-09</t>
        </is>
      </c>
      <c r="B10" s="27" t="inlineStr">
        <is>
          <t>NAV-LAND</t>
        </is>
      </c>
      <c r="C10" s="27" t="inlineStr">
        <is>
          <t>Меню аккаунта в шапке</t>
        </is>
      </c>
      <c r="D10" s="27" t="inlineStr">
        <is>
          <t>Мои записи</t>
        </is>
      </c>
      <c r="E10" s="27" t="inlineStr">
        <is>
          <t>Переход</t>
        </is>
      </c>
      <c r="F10" s="27" t="inlineStr">
        <is>
          <t>CAB-01</t>
        </is>
      </c>
      <c r="G10" s="29">
        <f>IF(F10="","⚠ не определено",IF(F10="ANCHOR","Прокрутка к секции",IF(F10="EXT","Внешняя ссылка",IF(F10="PARENT","Вернуться туда, откуда открыто",IFERROR(INDEX(Реестр!$C:$C,MATCH(F10,Реестр!$A:$A,0)),"⚠ нет в реестре")))))</f>
        <v/>
      </c>
      <c r="H10" s="27" t="inlineStr">
        <is>
          <t>PUB-01, PUB-05</t>
        </is>
      </c>
      <c r="I10" s="27" t="inlineStr">
        <is>
          <t>Выпадающее меню авторизованного</t>
        </is>
      </c>
      <c r="J10" s="28" t="inlineStr">
        <is>
          <t>Связано</t>
        </is>
      </c>
      <c r="K10" s="27" t="inlineStr">
        <is>
          <t>→ #/account</t>
        </is>
      </c>
    </row>
    <row r="11" ht="15" customHeight="1" s="13">
      <c r="A11" s="27" t="inlineStr">
        <is>
          <t>N-10</t>
        </is>
      </c>
      <c r="B11" s="27" t="inlineStr">
        <is>
          <t>NAV-LAND</t>
        </is>
      </c>
      <c r="C11" s="27" t="inlineStr">
        <is>
          <t>Меню аккаунта в шапке</t>
        </is>
      </c>
      <c r="D11" s="27" t="inlineStr">
        <is>
          <t>Профиль</t>
        </is>
      </c>
      <c r="E11" s="27" t="inlineStr">
        <is>
          <t>Переход</t>
        </is>
      </c>
      <c r="F11" s="27" t="inlineStr">
        <is>
          <t>CAB-07</t>
        </is>
      </c>
      <c r="G11" s="29">
        <f>IF(F11="","⚠ не определено",IF(F11="ANCHOR","Прокрутка к секции",IF(F11="EXT","Внешняя ссылка",IF(F11="PARENT","Вернуться туда, откуда открыто",IFERROR(INDEX(Реестр!$C:$C,MATCH(F11,Реестр!$A:$A,0)),"⚠ нет в реестре")))))</f>
        <v/>
      </c>
      <c r="H11" s="27" t="inlineStr">
        <is>
          <t>PUB-01, PUB-05</t>
        </is>
      </c>
      <c r="I11" s="27" t="n"/>
      <c r="J11" s="28" t="inlineStr">
        <is>
          <t>Связано</t>
        </is>
      </c>
      <c r="K11" s="27" t="inlineStr">
        <is>
          <t>→ #/account/profile</t>
        </is>
      </c>
    </row>
    <row r="12" ht="35.05" customHeight="1" s="13">
      <c r="A12" s="27" t="inlineStr">
        <is>
          <t>N-11</t>
        </is>
      </c>
      <c r="B12" s="27" t="inlineStr">
        <is>
          <t>NAV-LAND</t>
        </is>
      </c>
      <c r="C12" s="27" t="inlineStr">
        <is>
          <t>Меню аккаунта в шапке</t>
        </is>
      </c>
      <c r="D12" s="27" t="inlineStr">
        <is>
          <t>Выйти</t>
        </is>
      </c>
      <c r="E12" s="27" t="inlineStr">
        <is>
          <t>Переход</t>
        </is>
      </c>
      <c r="F12" s="27" t="inlineStr">
        <is>
          <t>PUB-01</t>
        </is>
      </c>
      <c r="G12" s="29">
        <f>IF(F12="","⚠ не определено",IF(F12="ANCHOR","Прокрутка к секции",IF(F12="EXT","Внешняя ссылка",IF(F12="PARENT","Вернуться туда, откуда открыто",IFERROR(INDEX(Реестр!$C:$C,MATCH(F12,Реестр!$A:$A,0)),"⚠ нет в реестре")))))</f>
        <v/>
      </c>
      <c r="H12" s="27" t="inlineStr">
        <is>
          <t>PUB-01, PUB-05</t>
        </is>
      </c>
      <c r="I12" s="27" t="n"/>
      <c r="J12" s="28" t="inlineStr">
        <is>
          <t>Связано</t>
        </is>
      </c>
      <c r="K12" s="27" t="inlineStr">
        <is>
          <t>Разлогинивает и остаётся на лендинге</t>
        </is>
      </c>
    </row>
    <row r="13" ht="15" customHeight="1" s="13">
      <c r="A13" s="27" t="inlineStr">
        <is>
          <t>N-12</t>
        </is>
      </c>
      <c r="B13" s="27" t="inlineStr">
        <is>
          <t>NAV-LAND</t>
        </is>
      </c>
      <c r="C13" s="27" t="inlineStr">
        <is>
          <t>Подвал лендинга</t>
        </is>
      </c>
      <c r="D13" s="27" t="inlineStr">
        <is>
          <t>Ссылки на секции</t>
        </is>
      </c>
      <c r="E13" s="27" t="inlineStr">
        <is>
          <t>Якорь</t>
        </is>
      </c>
      <c r="F13" s="27" t="inlineStr">
        <is>
          <t>ANCHOR</t>
        </is>
      </c>
      <c r="G13" s="29">
        <f>IF(F13="","⚠ не определено",IF(F13="ANCHOR","Прокрутка к секции",IF(F13="EXT","Внешняя ссылка",IF(F13="PARENT","Вернуться туда, откуда открыто",IFERROR(INDEX(Реестр!$C:$C,MATCH(F13,Реестр!$A:$A,0)),"⚠ нет в реестре")))))</f>
        <v/>
      </c>
      <c r="H13" s="27" t="inlineStr">
        <is>
          <t>PUB-01, PUB-05</t>
        </is>
      </c>
      <c r="I13" s="27" t="n"/>
      <c r="J13" s="28" t="inlineStr">
        <is>
          <t>Связано</t>
        </is>
      </c>
      <c r="K13" s="27" t="inlineStr">
        <is>
          <t>Услуги, Мастера, Работы, Контакты</t>
        </is>
      </c>
    </row>
    <row r="14" ht="15" customHeight="1" s="13">
      <c r="A14" s="27" t="inlineStr">
        <is>
          <t>N-13</t>
        </is>
      </c>
      <c r="B14" s="27" t="inlineStr">
        <is>
          <t>NAV-LAND</t>
        </is>
      </c>
      <c r="C14" s="27" t="inlineStr">
        <is>
          <t>Подвал лендинга</t>
        </is>
      </c>
      <c r="D14" s="27" t="inlineStr">
        <is>
          <t>Телефон, соцсети, карта</t>
        </is>
      </c>
      <c r="E14" s="27" t="inlineStr">
        <is>
          <t>Внешняя ссылка</t>
        </is>
      </c>
      <c r="F14" s="27" t="inlineStr">
        <is>
          <t>EXT</t>
        </is>
      </c>
      <c r="G14" s="29">
        <f>IF(F14="","⚠ не определено",IF(F14="ANCHOR","Прокрутка к секции",IF(F14="EXT","Внешняя ссылка",IF(F14="PARENT","Вернуться туда, откуда открыто",IFERROR(INDEX(Реестр!$C:$C,MATCH(F14,Реестр!$A:$A,0)),"⚠ нет в реестре")))))</f>
        <v/>
      </c>
      <c r="H14" s="27" t="inlineStr">
        <is>
          <t>PUB-01, PUB-05</t>
        </is>
      </c>
      <c r="I14" s="27" t="inlineStr">
        <is>
          <t>25.09.2026: данные есть: settings.phone, map_url, vk_url, telegram_url. Нужно сделать ссылки в подвале лендинга</t>
        </is>
      </c>
      <c r="J14" s="28" t="inlineStr">
        <is>
          <t>Связано</t>
        </is>
      </c>
      <c r="K14" s="27" t="inlineStr">
        <is>
          <t>В подвале: адрес → карта, телефон → tel:, VK и Telegram → ссылки. В секции «Контакты» то же, карта-заглушка стала ссылкой «Открыть на карте». Сделано 25.09.2026</t>
        </is>
      </c>
    </row>
    <row r="15" ht="23.85" customHeight="1" s="13">
      <c r="A15" s="27" t="inlineStr">
        <is>
          <t>N-14</t>
        </is>
      </c>
      <c r="B15" s="27" t="inlineStr">
        <is>
          <t>NAV-LAND</t>
        </is>
      </c>
      <c r="C15" s="27" t="inlineStr">
        <is>
          <t>Подвал лендинга</t>
        </is>
      </c>
      <c r="D15" s="27" t="inlineStr">
        <is>
          <t>Вход для сотрудников</t>
        </is>
      </c>
      <c r="E15" s="27" t="inlineStr">
        <is>
          <t>Переход</t>
        </is>
      </c>
      <c r="F15" s="27" t="inlineStr">
        <is>
          <t>AUTH-04</t>
        </is>
      </c>
      <c r="G15" s="29">
        <f>IF(F15="","⚠ не определено",IF(F15="ANCHOR","Прокрутка к секции",IF(F15="EXT","Внешняя ссылка",IF(F15="PARENT","Вернуться туда, откуда открыто",IFERROR(INDEX(Реестр!$C:$C,MATCH(F15,Реестр!$A:$A,0)),"⚠ нет в реестре")))))</f>
        <v/>
      </c>
      <c r="H15" s="27" t="inlineStr">
        <is>
          <t>PUB-01</t>
        </is>
      </c>
      <c r="I15" s="27" t="n"/>
      <c r="J15" s="28" t="inlineStr">
        <is>
          <t>Связано</t>
        </is>
      </c>
      <c r="K15" s="27" t="inlineStr">
        <is>
          <t>Ссылка в подвале лендинга рядом с политикой ПДн. Добавлено 25.09.2026</t>
        </is>
      </c>
    </row>
    <row r="16" ht="23.85" customHeight="1" s="13">
      <c r="A16" s="27" t="inlineStr">
        <is>
          <t>N-15</t>
        </is>
      </c>
      <c r="B16" s="27" t="inlineStr">
        <is>
          <t>NAV-BOOK</t>
        </is>
      </c>
      <c r="C16" s="27" t="inlineStr">
        <is>
          <t>Индикатор шагов</t>
        </is>
      </c>
      <c r="D16" s="27" t="inlineStr">
        <is>
          <t>Услуги</t>
        </is>
      </c>
      <c r="E16" s="27" t="inlineStr">
        <is>
          <t>Переход</t>
        </is>
      </c>
      <c r="F16" s="27" t="inlineStr">
        <is>
          <t>BOOK-01</t>
        </is>
      </c>
      <c r="G16" s="29">
        <f>IF(F16="","⚠ не определено",IF(F16="ANCHOR","Прокрутка к секции",IF(F16="EXT","Внешняя ссылка",IF(F16="PARENT","Вернуться туда, откуда открыто",IFERROR(INDEX(Реестр!$C:$C,MATCH(F16,Реестр!$A:$A,0)),"⚠ нет в реестре")))))</f>
        <v/>
      </c>
      <c r="H16" s="27" t="inlineStr">
        <is>
          <t>BOOK-01…BOOK-04</t>
        </is>
      </c>
      <c r="I16" s="27" t="inlineStr">
        <is>
          <t>Возврат к пройденному шагу</t>
        </is>
      </c>
      <c r="J16" s="28" t="inlineStr">
        <is>
          <t>Связано</t>
        </is>
      </c>
      <c r="K16" s="27" t="n"/>
    </row>
    <row r="17" ht="23.85" customHeight="1" s="13">
      <c r="A17" s="27" t="inlineStr">
        <is>
          <t>N-16</t>
        </is>
      </c>
      <c r="B17" s="27" t="inlineStr">
        <is>
          <t>NAV-BOOK</t>
        </is>
      </c>
      <c r="C17" s="27" t="inlineStr">
        <is>
          <t>Индикатор шагов</t>
        </is>
      </c>
      <c r="D17" s="27" t="inlineStr">
        <is>
          <t>Мастер</t>
        </is>
      </c>
      <c r="E17" s="27" t="inlineStr">
        <is>
          <t>Переход</t>
        </is>
      </c>
      <c r="F17" s="27" t="inlineStr">
        <is>
          <t>BOOK-02</t>
        </is>
      </c>
      <c r="G17" s="29">
        <f>IF(F17="","⚠ не определено",IF(F17="ANCHOR","Прокрутка к секции",IF(F17="EXT","Внешняя ссылка",IF(F17="PARENT","Вернуться туда, откуда открыто",IFERROR(INDEX(Реестр!$C:$C,MATCH(F17,Реестр!$A:$A,0)),"⚠ нет в реестре")))))</f>
        <v/>
      </c>
      <c r="H17" s="27" t="inlineStr">
        <is>
          <t>BOOK-01…BOOK-04</t>
        </is>
      </c>
      <c r="I17" s="27" t="n"/>
      <c r="J17" s="28" t="inlineStr">
        <is>
          <t>Связано</t>
        </is>
      </c>
      <c r="K17" s="27" t="n"/>
    </row>
    <row r="18" ht="23.85" customHeight="1" s="13">
      <c r="A18" s="27" t="inlineStr">
        <is>
          <t>N-17</t>
        </is>
      </c>
      <c r="B18" s="27" t="inlineStr">
        <is>
          <t>NAV-BOOK</t>
        </is>
      </c>
      <c r="C18" s="27" t="inlineStr">
        <is>
          <t>Индикатор шагов</t>
        </is>
      </c>
      <c r="D18" s="27" t="inlineStr">
        <is>
          <t>Время</t>
        </is>
      </c>
      <c r="E18" s="27" t="inlineStr">
        <is>
          <t>Переход</t>
        </is>
      </c>
      <c r="F18" s="27" t="inlineStr">
        <is>
          <t>BOOK-03</t>
        </is>
      </c>
      <c r="G18" s="29">
        <f>IF(F18="","⚠ не определено",IF(F18="ANCHOR","Прокрутка к секции",IF(F18="EXT","Внешняя ссылка",IF(F18="PARENT","Вернуться туда, откуда открыто",IFERROR(INDEX(Реестр!$C:$C,MATCH(F18,Реестр!$A:$A,0)),"⚠ нет в реестре")))))</f>
        <v/>
      </c>
      <c r="H18" s="27" t="inlineStr">
        <is>
          <t>BOOK-01…BOOK-04</t>
        </is>
      </c>
      <c r="I18" s="27" t="n"/>
      <c r="J18" s="28" t="inlineStr">
        <is>
          <t>Связано</t>
        </is>
      </c>
      <c r="K18" s="27" t="n"/>
    </row>
    <row r="19" ht="23.85" customHeight="1" s="13">
      <c r="A19" s="27" t="inlineStr">
        <is>
          <t>N-18</t>
        </is>
      </c>
      <c r="B19" s="27" t="inlineStr">
        <is>
          <t>NAV-BOOK</t>
        </is>
      </c>
      <c r="C19" s="27" t="inlineStr">
        <is>
          <t>Индикатор шагов</t>
        </is>
      </c>
      <c r="D19" s="27" t="inlineStr">
        <is>
          <t>Подтверждение</t>
        </is>
      </c>
      <c r="E19" s="27" t="inlineStr">
        <is>
          <t>Переход</t>
        </is>
      </c>
      <c r="F19" s="27" t="inlineStr">
        <is>
          <t>BOOK-04</t>
        </is>
      </c>
      <c r="G19" s="29">
        <f>IF(F19="","⚠ не определено",IF(F19="ANCHOR","Прокрутка к секции",IF(F19="EXT","Внешняя ссылка",IF(F19="PARENT","Вернуться туда, откуда открыто",IFERROR(INDEX(Реестр!$C:$C,MATCH(F19,Реестр!$A:$A,0)),"⚠ нет в реестре")))))</f>
        <v/>
      </c>
      <c r="H19" s="27" t="inlineStr">
        <is>
          <t>BOOK-01…BOOK-04</t>
        </is>
      </c>
      <c r="I19" s="27" t="n"/>
      <c r="J19" s="28" t="inlineStr">
        <is>
          <t>Нет элемента</t>
        </is>
      </c>
      <c r="K19" s="27" t="inlineStr">
        <is>
          <t>Пункт «Подтверждение» некликабельный (последний шаг)</t>
        </is>
      </c>
    </row>
    <row r="20" ht="35.05" customHeight="1" s="13">
      <c r="A20" s="27" t="inlineStr">
        <is>
          <t>N-19</t>
        </is>
      </c>
      <c r="B20" s="27" t="inlineStr">
        <is>
          <t>NAV-BOOK</t>
        </is>
      </c>
      <c r="C20" s="27" t="inlineStr">
        <is>
          <t>Шапка записи</t>
        </is>
      </c>
      <c r="D20" s="27" t="inlineStr">
        <is>
          <t>Логотип / выход из записи</t>
        </is>
      </c>
      <c r="E20" s="27" t="inlineStr">
        <is>
          <t>Переход</t>
        </is>
      </c>
      <c r="F20" s="27" t="inlineStr">
        <is>
          <t>PUB-01</t>
        </is>
      </c>
      <c r="G20" s="29">
        <f>IF(F20="","⚠ не определено",IF(F20="ANCHOR","Прокрутка к секции",IF(F20="EXT","Внешняя ссылка",IF(F20="PARENT","Вернуться туда, откуда открыто",IFERROR(INDEX(Реестр!$C:$C,MATCH(F20,Реестр!$A:$A,0)),"⚠ нет в реестре")))))</f>
        <v/>
      </c>
      <c r="H20" s="27" t="inlineStr">
        <is>
          <t>BOOK-01…BOOK-04</t>
        </is>
      </c>
      <c r="I20" s="27" t="n"/>
      <c r="J20" s="28" t="inlineStr">
        <is>
          <t>Связано</t>
        </is>
      </c>
      <c r="K20" s="27" t="inlineStr">
        <is>
          <t>Через модалку «Выйти из записи?» (BOOK-M6) → лендинг</t>
        </is>
      </c>
    </row>
    <row r="21" ht="23.85" customHeight="1" s="13">
      <c r="A21" s="27" t="inlineStr">
        <is>
          <t>N-20</t>
        </is>
      </c>
      <c r="B21" s="27" t="inlineStr">
        <is>
          <t>NAV-CAB</t>
        </is>
      </c>
      <c r="C21" s="27" t="inlineStr">
        <is>
          <t>Меню кабинета</t>
        </is>
      </c>
      <c r="D21" s="27" t="inlineStr">
        <is>
          <t>Мои записи</t>
        </is>
      </c>
      <c r="E21" s="27" t="inlineStr">
        <is>
          <t>Переход</t>
        </is>
      </c>
      <c r="F21" s="27" t="inlineStr">
        <is>
          <t>CAB-01</t>
        </is>
      </c>
      <c r="G21" s="29">
        <f>IF(F21="","⚠ не определено",IF(F21="ANCHOR","Прокрутка к секции",IF(F21="EXT","Внешняя ссылка",IF(F21="PARENT","Вернуться туда, откуда открыто",IFERROR(INDEX(Реестр!$C:$C,MATCH(F21,Реестр!$A:$A,0)),"⚠ нет в реестре")))))</f>
        <v/>
      </c>
      <c r="H21" s="27" t="inlineStr">
        <is>
          <t>Все страницы CAB с меню</t>
        </is>
      </c>
      <c r="I21" s="27" t="inlineStr">
        <is>
          <t>Сайдбар на десктопе, нижняя панель на мобильном</t>
        </is>
      </c>
      <c r="J21" s="28" t="inlineStr">
        <is>
          <t>Связано</t>
        </is>
      </c>
      <c r="K21" s="27" t="inlineStr">
        <is>
          <t>Сайдбар на десктопе, нижняя панель на мобильном</t>
        </is>
      </c>
    </row>
    <row r="22" ht="15" customHeight="1" s="13">
      <c r="A22" s="27" t="inlineStr">
        <is>
          <t>N-21</t>
        </is>
      </c>
      <c r="B22" s="27" t="inlineStr">
        <is>
          <t>NAV-CAB</t>
        </is>
      </c>
      <c r="C22" s="27" t="inlineStr">
        <is>
          <t>Меню кабинета</t>
        </is>
      </c>
      <c r="D22" s="27" t="inlineStr">
        <is>
          <t>История</t>
        </is>
      </c>
      <c r="E22" s="27" t="inlineStr">
        <is>
          <t>Переход</t>
        </is>
      </c>
      <c r="F22" s="27" t="inlineStr">
        <is>
          <t>CAB-02</t>
        </is>
      </c>
      <c r="G22" s="29">
        <f>IF(F22="","⚠ не определено",IF(F22="ANCHOR","Прокрутка к секции",IF(F22="EXT","Внешняя ссылка",IF(F22="PARENT","Вернуться туда, откуда открыто",IFERROR(INDEX(Реестр!$C:$C,MATCH(F22,Реестр!$A:$A,0)),"⚠ нет в реестре")))))</f>
        <v/>
      </c>
      <c r="H22" s="27" t="inlineStr">
        <is>
          <t>Все страницы CAB с меню</t>
        </is>
      </c>
      <c r="I22" s="27" t="n"/>
      <c r="J22" s="28" t="inlineStr">
        <is>
          <t>Связано</t>
        </is>
      </c>
      <c r="K22" s="27" t="n"/>
    </row>
    <row r="23" ht="15" customHeight="1" s="13">
      <c r="A23" s="27" t="inlineStr">
        <is>
          <t>N-23</t>
        </is>
      </c>
      <c r="B23" s="27" t="inlineStr">
        <is>
          <t>NAV-CAB</t>
        </is>
      </c>
      <c r="C23" s="27" t="inlineStr">
        <is>
          <t>Меню кабинета</t>
        </is>
      </c>
      <c r="D23" s="27" t="inlineStr">
        <is>
          <t>Профиль</t>
        </is>
      </c>
      <c r="E23" s="27" t="inlineStr">
        <is>
          <t>Переход</t>
        </is>
      </c>
      <c r="F23" s="27" t="inlineStr">
        <is>
          <t>CAB-07</t>
        </is>
      </c>
      <c r="G23" s="29">
        <f>IF(F23="","⚠ не определено",IF(F23="ANCHOR","Прокрутка к секции",IF(F23="EXT","Внешняя ссылка",IF(F23="PARENT","Вернуться туда, откуда открыто",IFERROR(INDEX(Реестр!$C:$C,MATCH(F23,Реестр!$A:$A,0)),"⚠ нет в реестре")))))</f>
        <v/>
      </c>
      <c r="H23" s="27" t="inlineStr">
        <is>
          <t>Все страницы CAB с меню</t>
        </is>
      </c>
      <c r="I23" s="27" t="n"/>
      <c r="J23" s="28" t="inlineStr">
        <is>
          <t>Связано</t>
        </is>
      </c>
      <c r="K23" s="27" t="n"/>
    </row>
    <row r="24" ht="15" customHeight="1" s="13">
      <c r="A24" s="27" t="inlineStr">
        <is>
          <t>N-25</t>
        </is>
      </c>
      <c r="B24" s="27" t="inlineStr">
        <is>
          <t>NAV-CAB</t>
        </is>
      </c>
      <c r="C24" s="27" t="inlineStr">
        <is>
          <t>Шапка кабинета</t>
        </is>
      </c>
      <c r="D24" s="27" t="inlineStr">
        <is>
          <t>Логотип / на лендинг</t>
        </is>
      </c>
      <c r="E24" s="27" t="inlineStr">
        <is>
          <t>Переход</t>
        </is>
      </c>
      <c r="F24" s="27" t="inlineStr">
        <is>
          <t>PUB-01</t>
        </is>
      </c>
      <c r="G24" s="29">
        <f>IF(F24="","⚠ не определено",IF(F24="ANCHOR","Прокрутка к секции",IF(F24="EXT","Внешняя ссылка",IF(F24="PARENT","Вернуться туда, откуда открыто",IFERROR(INDEX(Реестр!$C:$C,MATCH(F24,Реестр!$A:$A,0)),"⚠ нет в реестре")))))</f>
        <v/>
      </c>
      <c r="H24" s="27" t="inlineStr">
        <is>
          <t>Все страницы CAB с меню</t>
        </is>
      </c>
      <c r="I24" s="27" t="n"/>
      <c r="J24" s="28" t="inlineStr">
        <is>
          <t>Нет элемента</t>
        </is>
      </c>
      <c r="K24" s="27" t="inlineStr">
        <is>
          <t>Шапки кабинета с логотипом нет</t>
        </is>
      </c>
    </row>
    <row r="25" ht="15" customHeight="1" s="13">
      <c r="A25" s="27" t="inlineStr">
        <is>
          <t>N-26</t>
        </is>
      </c>
      <c r="B25" s="27" t="inlineStr">
        <is>
          <t>NAV-CAB</t>
        </is>
      </c>
      <c r="C25" s="27" t="inlineStr">
        <is>
          <t>Шапка кабинета</t>
        </is>
      </c>
      <c r="D25" s="27" t="inlineStr">
        <is>
          <t>Записаться</t>
        </is>
      </c>
      <c r="E25" s="27" t="inlineStr">
        <is>
          <t>Переход</t>
        </is>
      </c>
      <c r="F25" s="27" t="inlineStr">
        <is>
          <t>BOOK-01</t>
        </is>
      </c>
      <c r="G25" s="29">
        <f>IF(F25="","⚠ не определено",IF(F25="ANCHOR","Прокрутка к секции",IF(F25="EXT","Внешняя ссылка",IF(F25="PARENT","Вернуться туда, откуда открыто",IFERROR(INDEX(Реестр!$C:$C,MATCH(F25,Реестр!$A:$A,0)),"⚠ нет в реестре")))))</f>
        <v/>
      </c>
      <c r="H25" s="27" t="inlineStr">
        <is>
          <t>Все страницы CAB с меню</t>
        </is>
      </c>
      <c r="I25" s="27" t="inlineStr">
        <is>
          <t>Сверить наличие</t>
        </is>
      </c>
      <c r="J25" s="28" t="inlineStr">
        <is>
          <t>Нет элемента</t>
        </is>
      </c>
      <c r="K25" s="27" t="inlineStr">
        <is>
          <t>В шапке нет; кнопка «Новая запись» / «Записаться» — в содержимом CAB-01</t>
        </is>
      </c>
    </row>
    <row r="26" ht="35.05" customHeight="1" s="13">
      <c r="A26" s="27" t="inlineStr">
        <is>
          <t>N-27</t>
        </is>
      </c>
      <c r="B26" s="27" t="inlineStr">
        <is>
          <t>NAV-CAB</t>
        </is>
      </c>
      <c r="C26" s="27" t="inlineStr">
        <is>
          <t>Шапка кабинета</t>
        </is>
      </c>
      <c r="D26" s="27" t="inlineStr">
        <is>
          <t>Выйти</t>
        </is>
      </c>
      <c r="E26" s="27" t="inlineStr">
        <is>
          <t>Переход</t>
        </is>
      </c>
      <c r="F26" s="27" t="inlineStr">
        <is>
          <t>PUB-01</t>
        </is>
      </c>
      <c r="G26" s="29">
        <f>IF(F26="","⚠ не определено",IF(F26="ANCHOR","Прокрутка к секции",IF(F26="EXT","Внешняя ссылка",IF(F26="PARENT","Вернуться туда, откуда открыто",IFERROR(INDEX(Реестр!$C:$C,MATCH(F26,Реестр!$A:$A,0)),"⚠ нет в реестре")))))</f>
        <v/>
      </c>
      <c r="H26" s="27" t="inlineStr">
        <is>
          <t>Все страницы CAB с меню</t>
        </is>
      </c>
      <c r="I26" s="27" t="n"/>
      <c r="J26" s="28" t="inlineStr">
        <is>
          <t>Связано</t>
        </is>
      </c>
      <c r="K26" s="27" t="inlineStr">
        <is>
          <t>«Выйти» в сайдбаре (на мобильном — в профиле) → лендинг</t>
        </is>
      </c>
    </row>
    <row r="27" ht="23.85" customHeight="1" s="13">
      <c r="A27" s="27" t="inlineStr">
        <is>
          <t>N-35</t>
        </is>
      </c>
      <c r="B27" s="27" t="inlineStr">
        <is>
          <t>NAV-M</t>
        </is>
      </c>
      <c r="C27" s="27" t="inlineStr">
        <is>
          <t>Переключатель ролей</t>
        </is>
      </c>
      <c r="D27" s="27" t="inlineStr">
        <is>
          <t>Администратор</t>
        </is>
      </c>
      <c r="E27" s="27" t="inlineStr">
        <is>
          <t>Переход</t>
        </is>
      </c>
      <c r="F27" s="27" t="inlineStr">
        <is>
          <t>A-01</t>
        </is>
      </c>
      <c r="G27" s="29">
        <f>IF(F27="","⚠ не определено",IF(F27="ANCHOR","Прокрутка к секции",IF(F27="EXT","Внешняя ссылка",IF(F27="PARENT","Вернуться туда, откуда открыто",IFERROR(INDEX(Реестр!$C:$C,MATCH(F27,Реестр!$A:$A,0)),"⚠ нет в реестре")))))</f>
        <v/>
      </c>
      <c r="H27" s="27" t="inlineStr">
        <is>
          <t>Все страницы M</t>
        </is>
      </c>
      <c r="I27" s="27" t="inlineStr">
        <is>
          <t>25.09.2026: кабинета мастера нет ни в паспорте, ни в схеме БД (у мастеров нет учетных записей)</t>
        </is>
      </c>
      <c r="J27" s="28" t="inlineStr">
        <is>
          <t>Не нужно</t>
        </is>
      </c>
      <c r="K27" s="27" t="inlineStr">
        <is>
          <t>Кабинета мастера в прототипе нет (по паспорту у мастеров нет кабинета)</t>
        </is>
      </c>
    </row>
    <row r="28" ht="35.05" customHeight="1" s="13">
      <c r="A28" s="27" t="inlineStr">
        <is>
          <t>N-36</t>
        </is>
      </c>
      <c r="B28" s="27" t="inlineStr">
        <is>
          <t>NAV-M</t>
        </is>
      </c>
      <c r="C28" s="27" t="inlineStr">
        <is>
          <t>Переключатель ролей</t>
        </is>
      </c>
      <c r="D28" s="27" t="inlineStr">
        <is>
          <t>Выход</t>
        </is>
      </c>
      <c r="E28" s="27" t="inlineStr">
        <is>
          <t>Переход</t>
        </is>
      </c>
      <c r="F28" s="27" t="inlineStr">
        <is>
          <t>AUTH-04</t>
        </is>
      </c>
      <c r="G28" s="29">
        <f>IF(F28="","⚠ не определено",IF(F28="ANCHOR","Прокрутка к секции",IF(F28="EXT","Внешняя ссылка",IF(F28="PARENT","Вернуться туда, откуда открыто",IFERROR(INDEX(Реестр!$C:$C,MATCH(F28,Реестр!$A:$A,0)),"⚠ нет в реестре")))))</f>
        <v/>
      </c>
      <c r="H28" s="27" t="inlineStr">
        <is>
          <t>Все страницы M</t>
        </is>
      </c>
      <c r="I28" s="27" t="inlineStr">
        <is>
          <t>25.09.2026: кабинета мастера нет ни в паспорте, ни в схеме БД (у мастеров нет учетных записей)</t>
        </is>
      </c>
      <c r="J28" s="28" t="inlineStr">
        <is>
          <t>Не нужно</t>
        </is>
      </c>
      <c r="K28" s="27" t="inlineStr">
        <is>
          <t>Кабинета мастера в прототипе нет (по паспорту у мастеров нет кабинета)</t>
        </is>
      </c>
    </row>
    <row r="29" ht="15" customHeight="1" s="13">
      <c r="A29" s="27" t="inlineStr">
        <is>
          <t>N-37</t>
        </is>
      </c>
      <c r="B29" s="27" t="inlineStr">
        <is>
          <t>NAV-A</t>
        </is>
      </c>
      <c r="C29" s="27" t="inlineStr">
        <is>
          <t>Боковое меню</t>
        </is>
      </c>
      <c r="D29" s="27" t="inlineStr">
        <is>
          <t>Расписание</t>
        </is>
      </c>
      <c r="E29" s="27" t="inlineStr">
        <is>
          <t>Переход</t>
        </is>
      </c>
      <c r="F29" s="27" t="inlineStr">
        <is>
          <t>A-01</t>
        </is>
      </c>
      <c r="G29" s="29">
        <f>IF(F29="","⚠ не определено",IF(F29="ANCHOR","Прокрутка к секции",IF(F29="EXT","Внешняя ссылка",IF(F29="PARENT","Вернуться туда, откуда открыто",IFERROR(INDEX(Реестр!$C:$C,MATCH(F29,Реестр!$A:$A,0)),"⚠ нет в реестре")))))</f>
        <v/>
      </c>
      <c r="H29" s="27" t="inlineStr">
        <is>
          <t>Все страницы A с меню</t>
        </is>
      </c>
      <c r="I29" s="27" t="n"/>
      <c r="J29" s="28" t="inlineStr">
        <is>
          <t>Связано</t>
        </is>
      </c>
      <c r="K29" s="27" t="inlineStr">
        <is>
          <t>Иконка «Расписание»</t>
        </is>
      </c>
    </row>
    <row r="30" ht="15" customHeight="1" s="13">
      <c r="A30" s="27" t="inlineStr">
        <is>
          <t>N-38</t>
        </is>
      </c>
      <c r="B30" s="27" t="inlineStr">
        <is>
          <t>NAV-A</t>
        </is>
      </c>
      <c r="C30" s="27" t="inlineStr">
        <is>
          <t>Боковое меню</t>
        </is>
      </c>
      <c r="D30" s="27" t="inlineStr">
        <is>
          <t>Клиенты</t>
        </is>
      </c>
      <c r="E30" s="27" t="inlineStr">
        <is>
          <t>Переход</t>
        </is>
      </c>
      <c r="F30" s="27" t="inlineStr">
        <is>
          <t>A-07</t>
        </is>
      </c>
      <c r="G30" s="29">
        <f>IF(F30="","⚠ не определено",IF(F30="ANCHOR","Прокрутка к секции",IF(F30="EXT","Внешняя ссылка",IF(F30="PARENT","Вернуться туда, откуда открыто",IFERROR(INDEX(Реестр!$C:$C,MATCH(F30,Реестр!$A:$A,0)),"⚠ нет в реестре")))))</f>
        <v/>
      </c>
      <c r="H30" s="27" t="inlineStr">
        <is>
          <t>Все страницы A с меню</t>
        </is>
      </c>
      <c r="I30" s="27" t="n"/>
      <c r="J30" s="28" t="inlineStr">
        <is>
          <t>Связано</t>
        </is>
      </c>
      <c r="K30" s="27" t="inlineStr">
        <is>
          <t>Иконка «Клиенты»</t>
        </is>
      </c>
    </row>
    <row r="31" ht="15" customHeight="1" s="13">
      <c r="A31" s="27" t="inlineStr">
        <is>
          <t>N-41</t>
        </is>
      </c>
      <c r="B31" s="27" t="inlineStr">
        <is>
          <t>NAV-A</t>
        </is>
      </c>
      <c r="C31" s="27" t="inlineStr">
        <is>
          <t>Боковое меню</t>
        </is>
      </c>
      <c r="D31" s="27" t="inlineStr">
        <is>
          <t>Мастера</t>
        </is>
      </c>
      <c r="E31" s="27" t="inlineStr">
        <is>
          <t>Переход</t>
        </is>
      </c>
      <c r="F31" s="27" t="inlineStr">
        <is>
          <t>A-19</t>
        </is>
      </c>
      <c r="G31" s="29">
        <f>IF(F31="","⚠ не определено",IF(F31="ANCHOR","Прокрутка к секции",IF(F31="EXT","Внешняя ссылка",IF(F31="PARENT","Вернуться туда, откуда открыто",IFERROR(INDEX(Реестр!$C:$C,MATCH(F31,Реестр!$A:$A,0)),"⚠ нет в реестре")))))</f>
        <v/>
      </c>
      <c r="H31" s="27" t="inlineStr">
        <is>
          <t>Все страницы A с меню</t>
        </is>
      </c>
      <c r="I31" s="27" t="n"/>
      <c r="J31" s="28" t="inlineStr">
        <is>
          <t>Связано</t>
        </is>
      </c>
      <c r="K31" s="27" t="inlineStr">
        <is>
          <t>Иконка «Мастера»</t>
        </is>
      </c>
    </row>
    <row r="32" ht="15" customHeight="1" s="13">
      <c r="A32" s="27" t="inlineStr">
        <is>
          <t>N-42</t>
        </is>
      </c>
      <c r="B32" s="27" t="inlineStr">
        <is>
          <t>NAV-A</t>
        </is>
      </c>
      <c r="C32" s="27" t="inlineStr">
        <is>
          <t>Боковое меню</t>
        </is>
      </c>
      <c r="D32" s="27" t="inlineStr">
        <is>
          <t>Услуги</t>
        </is>
      </c>
      <c r="E32" s="27" t="inlineStr">
        <is>
          <t>Переход</t>
        </is>
      </c>
      <c r="F32" s="27" t="inlineStr">
        <is>
          <t>A-23</t>
        </is>
      </c>
      <c r="G32" s="29">
        <f>IF(F32="","⚠ не определено",IF(F32="ANCHOR","Прокрутка к секции",IF(F32="EXT","Внешняя ссылка",IF(F32="PARENT","Вернуться туда, откуда открыто",IFERROR(INDEX(Реестр!$C:$C,MATCH(F32,Реестр!$A:$A,0)),"⚠ нет в реестре")))))</f>
        <v/>
      </c>
      <c r="H32" s="27" t="inlineStr">
        <is>
          <t>Все страницы A с меню</t>
        </is>
      </c>
      <c r="I32" s="27" t="n"/>
      <c r="J32" s="28" t="inlineStr">
        <is>
          <t>Связано</t>
        </is>
      </c>
      <c r="K32" s="27" t="inlineStr">
        <is>
          <t>Иконка «Услуги»</t>
        </is>
      </c>
    </row>
    <row r="33" ht="15" customHeight="1" s="13">
      <c r="A33" s="27" t="inlineStr">
        <is>
          <t>N-48</t>
        </is>
      </c>
      <c r="B33" s="27" t="inlineStr">
        <is>
          <t>NAV-A</t>
        </is>
      </c>
      <c r="C33" s="27" t="inlineStr">
        <is>
          <t>Шапка администратора</t>
        </is>
      </c>
      <c r="D33" s="27" t="inlineStr">
        <is>
          <t>Новая запись</t>
        </is>
      </c>
      <c r="E33" s="27" t="inlineStr">
        <is>
          <t>Панель</t>
        </is>
      </c>
      <c r="F33" s="27" t="inlineStr">
        <is>
          <t>A-02</t>
        </is>
      </c>
      <c r="G33" s="29">
        <f>IF(F33="","⚠ не определено",IF(F33="ANCHOR","Прокрутка к секции",IF(F33="EXT","Внешняя ссылка",IF(F33="PARENT","Вернуться туда, откуда открыто",IFERROR(INDEX(Реестр!$C:$C,MATCH(F33,Реестр!$A:$A,0)),"⚠ нет в реестре")))))</f>
        <v/>
      </c>
      <c r="H33" s="27" t="inlineStr">
        <is>
          <t>Все страницы A с меню</t>
        </is>
      </c>
      <c r="I33" s="27" t="n"/>
      <c r="J33" s="28" t="inlineStr">
        <is>
          <t>Связано</t>
        </is>
      </c>
      <c r="K33" s="27" t="inlineStr">
        <is>
          <t>«+ Новая запись» — только в шапке шахматки A-01</t>
        </is>
      </c>
    </row>
    <row r="34" ht="15" customHeight="1" s="13">
      <c r="A34" s="27" t="inlineStr">
        <is>
          <t>N-49</t>
        </is>
      </c>
      <c r="B34" s="27" t="inlineStr">
        <is>
          <t>NAV-A</t>
        </is>
      </c>
      <c r="C34" s="27" t="inlineStr">
        <is>
          <t>Шапка администратора</t>
        </is>
      </c>
      <c r="D34" s="27" t="inlineStr">
        <is>
          <t>Результат поиска клиента</t>
        </is>
      </c>
      <c r="E34" s="27" t="inlineStr">
        <is>
          <t>Панель</t>
        </is>
      </c>
      <c r="F34" s="27" t="inlineStr">
        <is>
          <t>A-08</t>
        </is>
      </c>
      <c r="G34" s="29">
        <f>IF(F34="","⚠ не определено",IF(F34="ANCHOR","Прокрутка к секции",IF(F34="EXT","Внешняя ссылка",IF(F34="PARENT","Вернуться туда, откуда открыто",IFERROR(INDEX(Реестр!$C:$C,MATCH(F34,Реестр!$A:$A,0)),"⚠ нет в реестре")))))</f>
        <v/>
      </c>
      <c r="H34" s="27" t="inlineStr">
        <is>
          <t>Все страницы A с меню</t>
        </is>
      </c>
      <c r="I34" s="27" t="inlineStr">
        <is>
          <t>25.09.2026: данные есть: поиск клиентов по имени и телефону (users). Нужно открыть панель A-08 по результату поиска</t>
        </is>
      </c>
      <c r="J34" s="28" t="inlineStr">
        <is>
          <t>Связано</t>
        </is>
      </c>
      <c r="K34" s="27" t="inlineStr">
        <is>
          <t>Поиск по имени или телефону показывает список клиентов; клик открывает панель клиента A-08. Сделано 25.09.2026</t>
        </is>
      </c>
    </row>
    <row r="35" ht="15" customHeight="1" s="13">
      <c r="A35" s="27" t="inlineStr">
        <is>
          <t>N-53</t>
        </is>
      </c>
      <c r="B35" s="27" t="inlineStr">
        <is>
          <t>NAV-A</t>
        </is>
      </c>
      <c r="C35" s="27" t="inlineStr">
        <is>
          <t>Переключатель ролей</t>
        </is>
      </c>
      <c r="D35" s="27" t="inlineStr">
        <is>
          <t>Выход</t>
        </is>
      </c>
      <c r="E35" s="27" t="inlineStr">
        <is>
          <t>Переход</t>
        </is>
      </c>
      <c r="F35" s="27" t="inlineStr">
        <is>
          <t>AUTH-04</t>
        </is>
      </c>
      <c r="G35" s="29">
        <f>IF(F35="","⚠ не определено",IF(F35="ANCHOR","Прокрутка к секции",IF(F35="EXT","Внешняя ссылка",IF(F35="PARENT","Вернуться туда, откуда открыто",IFERROR(INDEX(Реестр!$C:$C,MATCH(F35,Реестр!$A:$A,0)),"⚠ нет в реестре")))))</f>
        <v/>
      </c>
      <c r="H35" s="27" t="inlineStr">
        <is>
          <t>Все страницы A с меню</t>
        </is>
      </c>
      <c r="I35" s="27" t="n"/>
      <c r="J35" s="28" t="inlineStr">
        <is>
          <t>Связано</t>
        </is>
      </c>
      <c r="K35" s="27" t="inlineStr">
        <is>
          <t>Меню «Администратор ▾» → «Выход» → #/staff/login (только на A-01)</t>
        </is>
      </c>
    </row>
    <row r="36" ht="15" customHeight="1" s="13">
      <c r="A36" s="27" t="inlineStr">
        <is>
          <t>N-54</t>
        </is>
      </c>
      <c r="B36" s="27" t="inlineStr">
        <is>
          <t>NAV-LAND</t>
        </is>
      </c>
      <c r="C36" s="27" t="inlineStr">
        <is>
          <t>Шапка лендинга</t>
        </is>
      </c>
      <c r="D36" s="27" t="inlineStr">
        <is>
          <t>Регистрация</t>
        </is>
      </c>
      <c r="E36" s="27" t="inlineStr">
        <is>
          <t>Переход</t>
        </is>
      </c>
      <c r="F36" s="27" t="inlineStr">
        <is>
          <t>AUTH-03</t>
        </is>
      </c>
      <c r="G36" s="29">
        <f>IF(F36="","⚠ не определено",IF(F36="ANCHOR","Прокрутка к секции",IF(F36="EXT","Внешняя ссылка",IF(F36="PARENT","Вернуться туда, откуда открыто",IFERROR(INDEX(Реестр!$C:$C,MATCH(F36,Реестр!$A:$A,0)),"⚠ нет в реестре")))))</f>
        <v/>
      </c>
      <c r="H36" s="27" t="inlineStr">
        <is>
          <t>PUB-01</t>
        </is>
      </c>
      <c r="I36" s="27" t="inlineStr">
        <is>
          <t>Для неавторизованного</t>
        </is>
      </c>
      <c r="J36" s="28" t="inlineStr">
        <is>
          <t>Связано</t>
        </is>
      </c>
      <c r="K36" s="27" t="inlineStr">
        <is>
          <t>Есть в прототипе, не было в карте</t>
        </is>
      </c>
    </row>
    <row r="37" ht="15" customHeight="1" s="13">
      <c r="A37" s="27" t="inlineStr">
        <is>
          <t>N-55</t>
        </is>
      </c>
      <c r="B37" s="27" t="inlineStr">
        <is>
          <t>NAV-BOOK</t>
        </is>
      </c>
      <c r="C37" s="27" t="inlineStr">
        <is>
          <t>Шапка записи</t>
        </is>
      </c>
      <c r="D37" s="27" t="inlineStr">
        <is>
          <t>← Назад</t>
        </is>
      </c>
      <c r="E37" s="27" t="inlineStr">
        <is>
          <t>Назад</t>
        </is>
      </c>
      <c r="F37" s="27" t="inlineStr">
        <is>
          <t>PARENT</t>
        </is>
      </c>
      <c r="G37" s="29">
        <f>IF(F37="","⚠ не определено",IF(F37="ANCHOR","Прокрутка к секции",IF(F37="EXT","Внешняя ссылка",IF(F37="PARENT","Вернуться туда, откуда открыто",IFERROR(INDEX(Реестр!$C:$C,MATCH(F37,Реестр!$A:$A,0)),"⚠ нет в реестре")))))</f>
        <v/>
      </c>
      <c r="H37" s="27" t="inlineStr">
        <is>
          <t>BOOK-01…BOOK-04</t>
        </is>
      </c>
      <c r="I37" s="27" t="inlineStr">
        <is>
          <t>Шаг назад; на шаге услуг — модалка BOOK-M6</t>
        </is>
      </c>
      <c r="J37" s="28" t="inlineStr">
        <is>
          <t>Связано</t>
        </is>
      </c>
      <c r="K37" s="27" t="inlineStr">
        <is>
          <t>Есть в прототипе, не было в карте</t>
        </is>
      </c>
    </row>
    <row r="38" ht="15" customHeight="1" s="13"/>
    <row r="39" ht="15" customHeight="1" s="13"/>
    <row r="40" ht="15" customHeight="1" s="13"/>
    <row r="41" ht="15" customHeight="1" s="13"/>
    <row r="42" ht="15" customHeight="1" s="13"/>
    <row r="43" ht="15" customHeight="1" s="13"/>
    <row r="44" ht="15" customHeight="1" s="13"/>
    <row r="45" ht="15" customHeight="1" s="13"/>
    <row r="46" ht="15" customHeight="1" s="13"/>
    <row r="47" ht="15" customHeight="1" s="13"/>
    <row r="48" ht="15" customHeight="1" s="13"/>
    <row r="49" ht="15" customHeight="1" s="13"/>
    <row r="50" ht="15" customHeight="1" s="13"/>
    <row r="51" ht="15" customHeight="1" s="13"/>
    <row r="52" ht="15" customHeight="1" s="13"/>
    <row r="53" ht="15" customHeight="1" s="13"/>
    <row r="54" ht="15" customHeight="1" s="13"/>
    <row r="55" ht="15" customHeight="1" s="13"/>
    <row r="56" ht="15" customHeight="1" s="13"/>
  </sheetData>
  <autoFilter ref="A1:K37"/>
  <conditionalFormatting sqref="G2:G1000">
    <cfRule type="expression" rank="0" priority="2" equalAverage="0" aboveAverage="0" dxfId="5" text="" percent="0" bottom="0">
      <formula>LEFT(G2,1)="⚠"</formula>
    </cfRule>
  </conditionalFormatting>
  <dataValidations count="1">
    <dataValidation sqref="J2:J500" showDropDown="0" showInputMessage="0" showErrorMessage="0" allowBlank="1" type="list" errorStyle="stop" operator="between">
      <formula1>"Не связано,Связано,Нет элемента,Требует решения,Не нужно"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8" customWidth="1" style="12" min="2" max="2"/>
    <col width="11" customWidth="1" style="12" min="3" max="3"/>
    <col width="32" customWidth="1" style="12" min="4" max="4"/>
    <col width="42" customWidth="1" style="12" min="5" max="5"/>
    <col width="16" customWidth="1" style="12" min="6" max="6"/>
    <col width="11" customWidth="1" style="12" min="7" max="7"/>
    <col width="32" customWidth="1" style="12" min="8" max="8"/>
    <col width="34" customWidth="1" style="12" min="9" max="9"/>
    <col width="16" customWidth="1" style="12" min="10" max="10"/>
    <col width="60" customWidth="1" style="13" min="11" max="11"/>
  </cols>
  <sheetData>
    <row r="1" ht="31.5" customHeight="1" s="13">
      <c r="A1" s="25" t="inlineStr">
        <is>
          <t>ID</t>
        </is>
      </c>
      <c r="B1" s="25" t="inlineStr">
        <is>
          <t>Блок</t>
        </is>
      </c>
      <c r="C1" s="25" t="inlineStr">
        <is>
          <t>Откуда (ID)</t>
        </is>
      </c>
      <c r="D1" s="25" t="inlineStr">
        <is>
          <t>Откуда (название)</t>
        </is>
      </c>
      <c r="E1" s="25" t="inlineStr">
        <is>
          <t>Элемент</t>
        </is>
      </c>
      <c r="F1" s="25" t="inlineStr">
        <is>
          <t>Действие</t>
        </is>
      </c>
      <c r="G1" s="25" t="inlineStr">
        <is>
          <t>Куда (ID)</t>
        </is>
      </c>
      <c r="H1" s="25" t="inlineStr">
        <is>
          <t>Куда (название)</t>
        </is>
      </c>
      <c r="I1" s="25" t="inlineStr">
        <is>
          <t>Примечание</t>
        </is>
      </c>
      <c r="J1" s="25" t="inlineStr">
        <is>
          <t>Статус</t>
        </is>
      </c>
      <c r="K1" s="25" t="inlineStr">
        <is>
          <t>Факт в прототипе</t>
        </is>
      </c>
    </row>
    <row r="2" ht="46.25" customHeight="1" s="13">
      <c r="A2" s="27" t="inlineStr">
        <is>
          <t>L-001</t>
        </is>
      </c>
      <c r="B2" s="27" t="inlineStr">
        <is>
          <t>PUB</t>
        </is>
      </c>
      <c r="C2" s="27" t="inlineStr">
        <is>
          <t>PUB-01</t>
        </is>
      </c>
      <c r="D2" s="29">
        <f>IFERROR(INDEX(Реестр!$C:$C,MATCH(C2,Реестр!$A:$A,0)),"⚠ нет в реестре")</f>
        <v/>
      </c>
      <c r="E2" s="27" t="inlineStr">
        <is>
          <t>Кнопка «Записаться» в первом экране</t>
        </is>
      </c>
      <c r="F2" s="27" t="inlineStr">
        <is>
          <t>Переход</t>
        </is>
      </c>
      <c r="G2" s="27" t="inlineStr">
        <is>
          <t>BOOK-01</t>
        </is>
      </c>
      <c r="H2" s="29">
        <f>IF(G2="ANCHOR","Прокрутка к секции",IF(G2="EXT","Внешняя ссылка",IF(G2="PARENT","Вернуться туда, откуда открыто",IFERROR(INDEX(Реестр!$C:$C,MATCH(G2,Реестр!$A:$A,0)),"⚠ нет в реестре"))))</f>
        <v/>
      </c>
      <c r="I2" s="27" t="n"/>
      <c r="J2" s="28" t="inlineStr">
        <is>
          <t>Связано</t>
        </is>
      </c>
      <c r="K2" s="27" t="inlineStr">
        <is>
          <t>«Записаться онлайн»</t>
        </is>
      </c>
    </row>
    <row r="3" ht="46.25" customHeight="1" s="13">
      <c r="A3" s="27" t="inlineStr">
        <is>
          <t>L-002</t>
        </is>
      </c>
      <c r="B3" s="27" t="inlineStr">
        <is>
          <t>PUB</t>
        </is>
      </c>
      <c r="C3" s="27" t="inlineStr">
        <is>
          <t>PUB-01</t>
        </is>
      </c>
      <c r="D3" s="29">
        <f>IFERROR(INDEX(Реестр!$C:$C,MATCH(C3,Реестр!$A:$A,0)),"⚠ нет в реестре")</f>
        <v/>
      </c>
      <c r="E3" s="27" t="inlineStr">
        <is>
          <t>Кнопка «Записаться» в финальном призыве</t>
        </is>
      </c>
      <c r="F3" s="27" t="inlineStr">
        <is>
          <t>Переход</t>
        </is>
      </c>
      <c r="G3" s="27" t="inlineStr">
        <is>
          <t>BOOK-01</t>
        </is>
      </c>
      <c r="H3" s="29">
        <f>IF(G3="ANCHOR","Прокрутка к секции",IF(G3="EXT","Внешняя ссылка",IF(G3="PARENT","Вернуться туда, откуда открыто",IFERROR(INDEX(Реестр!$C:$C,MATCH(G3,Реестр!$A:$A,0)),"⚠ нет в реестре"))))</f>
        <v/>
      </c>
      <c r="I3" s="27" t="n"/>
      <c r="J3" s="28" t="inlineStr">
        <is>
          <t>Связано</t>
        </is>
      </c>
      <c r="K3" s="27" t="inlineStr">
        <is>
          <t>«Записаться онлайн»</t>
        </is>
      </c>
    </row>
    <row r="4" ht="46.25" customHeight="1" s="13">
      <c r="A4" s="27" t="inlineStr">
        <is>
          <t>L-003</t>
        </is>
      </c>
      <c r="B4" s="27" t="inlineStr">
        <is>
          <t>PUB</t>
        </is>
      </c>
      <c r="C4" s="27" t="inlineStr">
        <is>
          <t>PUB-01</t>
        </is>
      </c>
      <c r="D4" s="29">
        <f>IFERROR(INDEX(Реестр!$C:$C,MATCH(C4,Реестр!$A:$A,0)),"⚠ нет в реестре")</f>
        <v/>
      </c>
      <c r="E4" s="27" t="inlineStr">
        <is>
          <t>Карточка услуги в секции «Услуги»</t>
        </is>
      </c>
      <c r="F4" s="27" t="inlineStr">
        <is>
          <t>Переход</t>
        </is>
      </c>
      <c r="G4" s="27" t="inlineStr">
        <is>
          <t>BOOK-01</t>
        </is>
      </c>
      <c r="H4" s="29">
        <f>IF(G4="ANCHOR","Прокрутка к секции",IF(G4="EXT","Внешняя ссылка",IF(G4="PARENT","Вернуться туда, откуда открыто",IFERROR(INDEX(Реестр!$C:$C,MATCH(G4,Реестр!$A:$A,0)),"⚠ нет в реестре"))))</f>
        <v/>
      </c>
      <c r="I4" s="27" t="inlineStr">
        <is>
          <t>Услуга подставлена в корзину визита</t>
        </is>
      </c>
      <c r="J4" s="28" t="inlineStr">
        <is>
          <t>Связано</t>
        </is>
      </c>
      <c r="K4" s="27" t="inlineStr">
        <is>
          <t>Ссылка на карточке ведёт на BOOK-01, но услуга в корзину НЕ подставляется</t>
        </is>
      </c>
    </row>
    <row r="5" ht="46.25" customHeight="1" s="13">
      <c r="A5" s="27" t="inlineStr">
        <is>
          <t>L-004</t>
        </is>
      </c>
      <c r="B5" s="27" t="inlineStr">
        <is>
          <t>PUB</t>
        </is>
      </c>
      <c r="C5" s="27" t="inlineStr">
        <is>
          <t>PUB-01</t>
        </is>
      </c>
      <c r="D5" s="29">
        <f>IFERROR(INDEX(Реестр!$C:$C,MATCH(C5,Реестр!$A:$A,0)),"⚠ нет в реестре")</f>
        <v/>
      </c>
      <c r="E5" s="27" t="inlineStr">
        <is>
          <t>Карточка мастера в секции «Мастера»</t>
        </is>
      </c>
      <c r="F5" s="27" t="inlineStr">
        <is>
          <t>Переход</t>
        </is>
      </c>
      <c r="G5" s="27" t="inlineStr">
        <is>
          <t>PUB-05</t>
        </is>
      </c>
      <c r="H5" s="29">
        <f>IF(G5="ANCHOR","Прокрутка к секции",IF(G5="EXT","Внешняя ссылка",IF(G5="PARENT","Вернуться туда, откуда открыто",IFERROR(INDEX(Реестр!$C:$C,MATCH(G5,Реестр!$A:$A,0)),"⚠ нет в реестре"))))</f>
        <v/>
      </c>
      <c r="I5" s="27" t="n"/>
      <c r="J5" s="28" t="inlineStr">
        <is>
          <t>Связано</t>
        </is>
      </c>
      <c r="K5" s="27" t="inlineStr">
        <is>
          <t>Фото и имя мастера</t>
        </is>
      </c>
    </row>
    <row r="6" ht="46.25" customHeight="1" s="13">
      <c r="A6" s="27" t="inlineStr">
        <is>
          <t>L-005</t>
        </is>
      </c>
      <c r="B6" s="27" t="inlineStr">
        <is>
          <t>PUB</t>
        </is>
      </c>
      <c r="C6" s="27" t="inlineStr">
        <is>
          <t>PUB-01</t>
        </is>
      </c>
      <c r="D6" s="29">
        <f>IFERROR(INDEX(Реестр!$C:$C,MATCH(C6,Реестр!$A:$A,0)),"⚠ нет в реестре")</f>
        <v/>
      </c>
      <c r="E6" s="27" t="inlineStr">
        <is>
          <t>Работа в секции «Работы»</t>
        </is>
      </c>
      <c r="F6" s="27" t="inlineStr">
        <is>
          <t>Переход</t>
        </is>
      </c>
      <c r="G6" s="27" t="inlineStr">
        <is>
          <t>PUB-05</t>
        </is>
      </c>
      <c r="H6" s="29">
        <f>IF(G6="ANCHOR","Прокрутка к секции",IF(G6="EXT","Внешняя ссылка",IF(G6="PARENT","Вернуться туда, откуда открыто",IFERROR(INDEX(Реестр!$C:$C,MATCH(G6,Реестр!$A:$A,0)),"⚠ нет в реестре"))))</f>
        <v/>
      </c>
      <c r="I6" s="27" t="inlineStr">
        <is>
          <t>Если работа подписана мастером · 25.09.2026: данные для перехода есть: фото → мастер (work_photos.master_id или через booking_item_id → bookings.master_id). Нужно сделать работы кликабельными в прототипе</t>
        </is>
      </c>
      <c r="J6" s="28" t="inlineStr">
        <is>
          <t>Связано</t>
        </is>
      </c>
      <c r="K6" s="27" t="inlineStr">
        <is>
          <t>Работа в галерее «Наши работы» открывает профиль мастера (#/masters/:id); подпись «Мастер →» на карточке. «Смотреть все работы» заменено на «Работы каждого мастера — в его профиле» (→ #masters). Сделано 25.09.2026</t>
        </is>
      </c>
    </row>
    <row r="7" ht="46.25" customHeight="1" s="13">
      <c r="A7" s="27" t="inlineStr">
        <is>
          <t>L-006</t>
        </is>
      </c>
      <c r="B7" s="27" t="inlineStr">
        <is>
          <t>PUB</t>
        </is>
      </c>
      <c r="C7" s="27" t="inlineStr">
        <is>
          <t>PUB-01</t>
        </is>
      </c>
      <c r="D7" s="29">
        <f>IFERROR(INDEX(Реестр!$C:$C,MATCH(C7,Реестр!$A:$A,0)),"⚠ нет в реестре")</f>
        <v/>
      </c>
      <c r="E7" s="27" t="inlineStr">
        <is>
          <t>Контакты: телефон, карта, соцсети</t>
        </is>
      </c>
      <c r="F7" s="27" t="inlineStr">
        <is>
          <t>Внешняя ссылка</t>
        </is>
      </c>
      <c r="G7" s="27" t="inlineStr">
        <is>
          <t>EXT</t>
        </is>
      </c>
      <c r="H7" s="29">
        <f>IF(G7="ANCHOR","Прокрутка к секции",IF(G7="EXT","Внешняя ссылка",IF(G7="PARENT","Вернуться туда, откуда открыто",IFERROR(INDEX(Реестр!$C:$C,MATCH(G7,Реестр!$A:$A,0)),"⚠ нет в реестре"))))</f>
        <v/>
      </c>
      <c r="I7" s="27" t="n"/>
      <c r="J7" s="28" t="inlineStr">
        <is>
          <t>Связано</t>
        </is>
      </c>
      <c r="K7" s="27" t="inlineStr">
        <is>
          <t>Только «Позвонить» (tel:). Карта и VK/Telegram — текст</t>
        </is>
      </c>
    </row>
    <row r="8" ht="23.85" customHeight="1" s="13">
      <c r="A8" s="27" t="inlineStr">
        <is>
          <t>L-007</t>
        </is>
      </c>
      <c r="B8" s="27" t="inlineStr">
        <is>
          <t>PUB</t>
        </is>
      </c>
      <c r="C8" s="27" t="inlineStr">
        <is>
          <t>PUB-05</t>
        </is>
      </c>
      <c r="D8" s="29">
        <f>IFERROR(INDEX(Реестр!$C:$C,MATCH(C8,Реестр!$A:$A,0)),"⚠ нет в реестре")</f>
        <v/>
      </c>
      <c r="E8" s="27" t="inlineStr">
        <is>
          <t>Кнопка «Записаться к мастеру»</t>
        </is>
      </c>
      <c r="F8" s="27" t="inlineStr">
        <is>
          <t>Переход</t>
        </is>
      </c>
      <c r="G8" s="27" t="inlineStr">
        <is>
          <t>BOOK-01</t>
        </is>
      </c>
      <c r="H8" s="29">
        <f>IF(G8="ANCHOR","Прокрутка к секции",IF(G8="EXT","Внешняя ссылка",IF(G8="PARENT","Вернуться туда, откуда открыто",IFERROR(INDEX(Реестр!$C:$C,MATCH(G8,Реестр!$A:$A,0)),"⚠ нет в реестре"))))</f>
        <v/>
      </c>
      <c r="I8" s="27" t="inlineStr">
        <is>
          <t>Мастер уже выбран на шаге услуг</t>
        </is>
      </c>
      <c r="J8" s="28" t="inlineStr">
        <is>
          <t>Связано</t>
        </is>
      </c>
      <c r="K8" s="27" t="inlineStr">
        <is>
          <t>«Записаться»: без выбранных услуг → BOOK-01 с закреплённым мастером; если услуги уже выбраны → BOOK-03</t>
        </is>
      </c>
    </row>
    <row r="9" ht="46.25" customHeight="1" s="13">
      <c r="A9" s="27" t="inlineStr">
        <is>
          <t>L-008</t>
        </is>
      </c>
      <c r="B9" s="27" t="inlineStr">
        <is>
          <t>PUB</t>
        </is>
      </c>
      <c r="C9" s="27" t="inlineStr">
        <is>
          <t>PUB-05</t>
        </is>
      </c>
      <c r="D9" s="29">
        <f>IFERROR(INDEX(Реестр!$C:$C,MATCH(C9,Реестр!$A:$A,0)),"⚠ нет в реестре")</f>
        <v/>
      </c>
      <c r="E9" s="27" t="inlineStr">
        <is>
          <t>«Все мастера» / назад на лендинг</t>
        </is>
      </c>
      <c r="F9" s="27" t="inlineStr">
        <is>
          <t>Назад</t>
        </is>
      </c>
      <c r="G9" s="27" t="inlineStr">
        <is>
          <t>PUB-01</t>
        </is>
      </c>
      <c r="H9" s="29">
        <f>IF(G9="ANCHOR","Прокрутка к секции",IF(G9="EXT","Внешняя ссылка",IF(G9="PARENT","Вернуться туда, откуда открыто",IFERROR(INDEX(Реестр!$C:$C,MATCH(G9,Реестр!$A:$A,0)),"⚠ нет в реестре"))))</f>
        <v/>
      </c>
      <c r="I9" s="27" t="inlineStr">
        <is>
          <t>К секции «Мастера»</t>
        </is>
      </c>
      <c r="J9" s="28" t="inlineStr">
        <is>
          <t>Связано</t>
        </is>
      </c>
      <c r="K9" s="27" t="inlineStr">
        <is>
          <t>«← Назад»: на лендинг, а если пришли с шага «Мастер» — обратно на BOOK-02</t>
        </is>
      </c>
    </row>
    <row r="10" ht="15" customHeight="1" s="13">
      <c r="A10" s="27" t="inlineStr">
        <is>
          <t>L-009</t>
        </is>
      </c>
      <c r="B10" s="27" t="inlineStr">
        <is>
          <t>AUTH</t>
        </is>
      </c>
      <c r="C10" s="27" t="inlineStr">
        <is>
          <t>AUTH-01</t>
        </is>
      </c>
      <c r="D10" s="29">
        <f>IFERROR(INDEX(Реестр!$C:$C,MATCH(C10,Реестр!$A:$A,0)),"⚠ нет в реестре")</f>
        <v/>
      </c>
      <c r="E10" s="27" t="inlineStr">
        <is>
          <t>Ссылка «Войти по коду из SMS»</t>
        </is>
      </c>
      <c r="F10" s="27" t="inlineStr">
        <is>
          <t>Переход</t>
        </is>
      </c>
      <c r="G10" s="27" t="inlineStr">
        <is>
          <t>AUTH-02</t>
        </is>
      </c>
      <c r="H10" s="29">
        <f>IF(G10="ANCHOR","Прокрутка к секции",IF(G10="EXT","Внешняя ссылка",IF(G10="PARENT","Вернуться туда, откуда открыто",IFERROR(INDEX(Реестр!$C:$C,MATCH(G10,Реестр!$A:$A,0)),"⚠ нет в реестре"))))</f>
        <v/>
      </c>
      <c r="I10" s="27" t="inlineStr">
        <is>
          <t>Основной вход — по паролю (L-212)</t>
        </is>
      </c>
      <c r="J10" s="28" t="inlineStr">
        <is>
          <t>Связано</t>
        </is>
      </c>
      <c r="K10" s="27" t="inlineStr">
        <is>
          <t>Переписано под прототип 25.09.2026</t>
        </is>
      </c>
    </row>
    <row r="11" ht="46.25" customHeight="1" s="13">
      <c r="A11" s="27" t="inlineStr">
        <is>
          <t>L-010</t>
        </is>
      </c>
      <c r="B11" s="27" t="inlineStr">
        <is>
          <t>AUTH</t>
        </is>
      </c>
      <c r="C11" s="27" t="inlineStr">
        <is>
          <t>AUTH-01</t>
        </is>
      </c>
      <c r="D11" s="29">
        <f>IFERROR(INDEX(Реестр!$C:$C,MATCH(C11,Реестр!$A:$A,0)),"⚠ нет в реестре")</f>
        <v/>
      </c>
      <c r="E11" s="27" t="inlineStr">
        <is>
          <t>«Назад» / крестик</t>
        </is>
      </c>
      <c r="F11" s="27" t="inlineStr">
        <is>
          <t>Назад</t>
        </is>
      </c>
      <c r="G11" s="27" t="inlineStr">
        <is>
          <t>PUB-01</t>
        </is>
      </c>
      <c r="H11" s="29">
        <f>IF(G11="ANCHOR","Прокрутка к секции",IF(G11="EXT","Внешняя ссылка",IF(G11="PARENT","Вернуться туда, откуда открыто",IFERROR(INDEX(Реестр!$C:$C,MATCH(G11,Реестр!$A:$A,0)),"⚠ нет в реестре"))))</f>
        <v/>
      </c>
      <c r="I11" s="27" t="n"/>
      <c r="J11" s="28" t="inlineStr">
        <is>
          <t>Нет элемента</t>
        </is>
      </c>
      <c r="K11" s="27" t="inlineStr">
        <is>
          <t>На экране входа нет «Назад» и логотипа</t>
        </is>
      </c>
    </row>
    <row r="12" ht="23.85" customHeight="1" s="13">
      <c r="A12" s="27" t="inlineStr">
        <is>
          <t>L-011</t>
        </is>
      </c>
      <c r="B12" s="27" t="inlineStr">
        <is>
          <t>AUTH</t>
        </is>
      </c>
      <c r="C12" s="27" t="inlineStr">
        <is>
          <t>AUTH-02</t>
        </is>
      </c>
      <c r="D12" s="29">
        <f>IFERROR(INDEX(Реестр!$C:$C,MATCH(C12,Реестр!$A:$A,0)),"⚠ нет в реестре")</f>
        <v/>
      </c>
      <c r="E12" s="27" t="inlineStr">
        <is>
          <t>Кнопка «Подтвердить» — клиент пришёл из записи</t>
        </is>
      </c>
      <c r="F12" s="27" t="inlineStr">
        <is>
          <t>Переход</t>
        </is>
      </c>
      <c r="G12" s="27" t="inlineStr">
        <is>
          <t>BOOK-04</t>
        </is>
      </c>
      <c r="H12" s="29">
        <f>IF(G12="ANCHOR","Прокрутка к секции",IF(G12="EXT","Внешняя ссылка",IF(G12="PARENT","Вернуться туда, откуда открыто",IFERROR(INDEX(Реестр!$C:$C,MATCH(G12,Реестр!$A:$A,0)),"⚠ нет в реестре"))))</f>
        <v/>
      </c>
      <c r="I12" s="27" t="inlineStr">
        <is>
          <t>Условный переход: выбрать демо-ветку</t>
        </is>
      </c>
      <c r="J12" s="28" t="inlineStr">
        <is>
          <t>Связано</t>
        </is>
      </c>
      <c r="K12" s="27" t="inlineStr">
        <is>
          <t>Кнопки нет — проверка после ввода 4 цифр. Если есть черновик записи → BOOK-04</t>
        </is>
      </c>
    </row>
    <row r="13" ht="23.85" customHeight="1" s="13">
      <c r="A13" s="27" t="inlineStr">
        <is>
          <t>L-012</t>
        </is>
      </c>
      <c r="B13" s="27" t="inlineStr">
        <is>
          <t>AUTH</t>
        </is>
      </c>
      <c r="C13" s="27" t="inlineStr">
        <is>
          <t>AUTH-02</t>
        </is>
      </c>
      <c r="D13" s="29">
        <f>IFERROR(INDEX(Реестр!$C:$C,MATCH(C13,Реестр!$A:$A,0)),"⚠ нет в реестре")</f>
        <v/>
      </c>
      <c r="E13" s="27" t="inlineStr">
        <is>
          <t>Верный код после регистрации</t>
        </is>
      </c>
      <c r="F13" s="27" t="inlineStr">
        <is>
          <t>Переход</t>
        </is>
      </c>
      <c r="G13" s="27" t="inlineStr">
        <is>
          <t>CAB-01</t>
        </is>
      </c>
      <c r="H13" s="29">
        <f>IF(G13="ANCHOR","Прокрутка к секции",IF(G13="EXT","Внешняя ссылка",IF(G13="PARENT","Вернуться туда, откуда открыто",IFERROR(INDEX(Реестр!$C:$C,MATCH(G13,Реестр!$A:$A,0)),"⚠ нет в реестре"))))</f>
        <v/>
      </c>
      <c r="I13" s="27" t="inlineStr">
        <is>
          <t>Если есть черновик записи — BOOK-04 (L-011)</t>
        </is>
      </c>
      <c r="J13" s="28" t="inlineStr">
        <is>
          <t>Связано</t>
        </is>
      </c>
      <c r="K13" s="27" t="inlineStr">
        <is>
          <t>Переписано под прототип 25.09.2026</t>
        </is>
      </c>
    </row>
    <row r="14" ht="15" customHeight="1" s="13">
      <c r="A14" s="27" t="inlineStr">
        <is>
          <t>L-013</t>
        </is>
      </c>
      <c r="B14" s="27" t="inlineStr">
        <is>
          <t>AUTH</t>
        </is>
      </c>
      <c r="C14" s="27" t="inlineStr">
        <is>
          <t>AUTH-02</t>
        </is>
      </c>
      <c r="D14" s="29">
        <f>IFERROR(INDEX(Реестр!$C:$C,MATCH(C14,Реестр!$A:$A,0)),"⚠ нет в реестре")</f>
        <v/>
      </c>
      <c r="E14" s="27" t="inlineStr">
        <is>
          <t>Ссылка «Изменить номер»</t>
        </is>
      </c>
      <c r="F14" s="27" t="inlineStr">
        <is>
          <t>Назад</t>
        </is>
      </c>
      <c r="G14" s="27" t="inlineStr">
        <is>
          <t>AUTH-01</t>
        </is>
      </c>
      <c r="H14" s="29">
        <f>IF(G14="ANCHOR","Прокрутка к секции",IF(G14="EXT","Внешняя ссылка",IF(G14="PARENT","Вернуться туда, откуда открыто",IFERROR(INDEX(Реестр!$C:$C,MATCH(G14,Реестр!$A:$A,0)),"⚠ нет в реестре"))))</f>
        <v/>
      </c>
      <c r="I14" s="27" t="n"/>
      <c r="J14" s="28" t="inlineStr">
        <is>
          <t>Связано</t>
        </is>
      </c>
      <c r="K14" s="27" t="inlineStr">
        <is>
          <t>Возвращает на экран, с которого пришли (вход, регистрация, вход сотрудника, восстановление)</t>
        </is>
      </c>
    </row>
    <row r="15" ht="15" customHeight="1" s="13">
      <c r="A15" s="27" t="inlineStr">
        <is>
          <t>L-014</t>
        </is>
      </c>
      <c r="B15" s="27" t="inlineStr">
        <is>
          <t>AUTH</t>
        </is>
      </c>
      <c r="C15" s="27" t="inlineStr">
        <is>
          <t>AUTH-03</t>
        </is>
      </c>
      <c r="D15" s="29">
        <f>IFERROR(INDEX(Реестр!$C:$C,MATCH(C15,Реестр!$A:$A,0)),"⚠ нет в реестре")</f>
        <v/>
      </c>
      <c r="E15" s="27" t="inlineStr">
        <is>
          <t>Кнопка «Зарегистрироваться»</t>
        </is>
      </c>
      <c r="F15" s="27" t="inlineStr">
        <is>
          <t>Переход</t>
        </is>
      </c>
      <c r="G15" s="27" t="inlineStr">
        <is>
          <t>AUTH-02</t>
        </is>
      </c>
      <c r="H15" s="29">
        <f>IF(G15="ANCHOR","Прокрутка к секции",IF(G15="EXT","Внешняя ссылка",IF(G15="PARENT","Вернуться туда, откуда открыто",IFERROR(INDEX(Реестр!$C:$C,MATCH(G15,Реестр!$A:$A,0)),"⚠ нет в реестре"))))</f>
        <v/>
      </c>
      <c r="I15" s="27" t="inlineStr">
        <is>
          <t>Регистрация до кода: имя, телефон, e-mail, пароль, согласие на обработку ПДн</t>
        </is>
      </c>
      <c r="J15" s="28" t="inlineStr">
        <is>
          <t>Связано</t>
        </is>
      </c>
      <c r="K15" s="27" t="inlineStr">
        <is>
          <t>Переписано под прототип 25.09.2026 (заменяет L-214)</t>
        </is>
      </c>
    </row>
    <row r="16" ht="23.85" customHeight="1" s="13">
      <c r="A16" s="27" t="inlineStr">
        <is>
          <t>L-017</t>
        </is>
      </c>
      <c r="B16" s="27" t="inlineStr">
        <is>
          <t>AUTH</t>
        </is>
      </c>
      <c r="C16" s="27" t="inlineStr">
        <is>
          <t>AUTH-04</t>
        </is>
      </c>
      <c r="D16" s="29">
        <f>IFERROR(INDEX(Реестр!$C:$C,MATCH(C16,Реестр!$A:$A,0)),"⚠ нет в реестре")</f>
        <v/>
      </c>
      <c r="E16" s="27" t="inlineStr">
        <is>
          <t>Кнопка «Войти» — только администратор</t>
        </is>
      </c>
      <c r="F16" s="27" t="inlineStr">
        <is>
          <t>Переход</t>
        </is>
      </c>
      <c r="G16" s="27" t="inlineStr">
        <is>
          <t>A-01</t>
        </is>
      </c>
      <c r="H16" s="29">
        <f>IF(G16="ANCHOR","Прокрутка к секции",IF(G16="EXT","Внешняя ссылка",IF(G16="PARENT","Вернуться туда, откуда открыто",IFERROR(INDEX(Реестр!$C:$C,MATCH(G16,Реестр!$A:$A,0)),"⚠ нет в реестре"))))</f>
        <v/>
      </c>
      <c r="I16" s="27" t="inlineStr">
        <is>
          <t>Условный переход</t>
        </is>
      </c>
      <c r="J16" s="28" t="inlineStr">
        <is>
          <t>Связано</t>
        </is>
      </c>
      <c r="K16" s="27" t="inlineStr">
        <is>
          <t>Тест: +7 (999) 000-11-22 / Admin1234</t>
        </is>
      </c>
    </row>
    <row r="17" ht="15" customHeight="1" s="13">
      <c r="A17" s="27" t="inlineStr">
        <is>
          <t>L-018</t>
        </is>
      </c>
      <c r="B17" s="27" t="inlineStr">
        <is>
          <t>AUTH</t>
        </is>
      </c>
      <c r="C17" s="27" t="inlineStr">
        <is>
          <t>AUTH-04</t>
        </is>
      </c>
      <c r="D17" s="29">
        <f>IFERROR(INDEX(Реестр!$C:$C,MATCH(C17,Реестр!$A:$A,0)),"⚠ нет в реестре")</f>
        <v/>
      </c>
      <c r="E17" s="27" t="inlineStr">
        <is>
          <t>Ссылка «Забыли пароль»</t>
        </is>
      </c>
      <c r="F17" s="27" t="inlineStr">
        <is>
          <t>Переход</t>
        </is>
      </c>
      <c r="G17" s="27" t="inlineStr">
        <is>
          <t>AUTH-06</t>
        </is>
      </c>
      <c r="H17" s="29">
        <f>IF(G17="ANCHOR","Прокрутка к секции",IF(G17="EXT","Внешняя ссылка",IF(G17="PARENT","Вернуться туда, откуда открыто",IFERROR(INDEX(Реестр!$C:$C,MATCH(G17,Реестр!$A:$A,0)),"⚠ нет в реестре"))))</f>
        <v/>
      </c>
      <c r="I17" s="27" t="n"/>
      <c r="J17" s="28" t="inlineStr">
        <is>
          <t>Связано</t>
        </is>
      </c>
      <c r="K17" s="27" t="n"/>
    </row>
    <row r="18" ht="15" customHeight="1" s="13">
      <c r="A18" s="27" t="inlineStr">
        <is>
          <t>L-022</t>
        </is>
      </c>
      <c r="B18" s="27" t="inlineStr">
        <is>
          <t>AUTH</t>
        </is>
      </c>
      <c r="C18" s="27" t="inlineStr">
        <is>
          <t>AUTH-06</t>
        </is>
      </c>
      <c r="D18" s="29">
        <f>IFERROR(INDEX(Реестр!$C:$C,MATCH(C18,Реестр!$A:$A,0)),"⚠ нет в реестре")</f>
        <v/>
      </c>
      <c r="E18" s="27" t="inlineStr">
        <is>
          <t>Кнопка «Отправить» → «Ввести код»</t>
        </is>
      </c>
      <c r="F18" s="27" t="inlineStr">
        <is>
          <t>Переход</t>
        </is>
      </c>
      <c r="G18" s="27" t="inlineStr">
        <is>
          <t>AUTH-02</t>
        </is>
      </c>
      <c r="H18" s="29">
        <f>IF(G18="ANCHOR","Прокрутка к секции",IF(G18="EXT","Внешняя ссылка",IF(G18="PARENT","Вернуться туда, откуда открыто",IFERROR(INDEX(Реестр!$C:$C,MATCH(G18,Реестр!$A:$A,0)),"⚠ нет в реестре"))))</f>
        <v/>
      </c>
      <c r="I18" s="27" t="inlineStr">
        <is>
          <t>После «Отправить» на том же экране — «Проверьте телефон или почту»; дальше AUTH-02 → AUTH-08 (L-217)</t>
        </is>
      </c>
      <c r="J18" s="28" t="inlineStr">
        <is>
          <t>Связано</t>
        </is>
      </c>
      <c r="K18" s="27" t="inlineStr">
        <is>
          <t>Переписано под прототип 25.09.2026 (заменяет L-218)</t>
        </is>
      </c>
    </row>
    <row r="19" ht="15" customHeight="1" s="13">
      <c r="A19" s="27" t="inlineStr">
        <is>
          <t>L-023</t>
        </is>
      </c>
      <c r="B19" s="27" t="inlineStr">
        <is>
          <t>AUTH</t>
        </is>
      </c>
      <c r="C19" s="27" t="inlineStr">
        <is>
          <t>AUTH-06</t>
        </is>
      </c>
      <c r="D19" s="29">
        <f>IFERROR(INDEX(Реестр!$C:$C,MATCH(C19,Реестр!$A:$A,0)),"⚠ нет в реестре")</f>
        <v/>
      </c>
      <c r="E19" s="27" t="inlineStr">
        <is>
          <t>«Назад ко входу»</t>
        </is>
      </c>
      <c r="F19" s="27" t="inlineStr">
        <is>
          <t>Назад</t>
        </is>
      </c>
      <c r="G19" s="27" t="inlineStr">
        <is>
          <t>AUTH-04</t>
        </is>
      </c>
      <c r="H19" s="29">
        <f>IF(G19="ANCHOR","Прокрутка к секции",IF(G19="EXT","Внешняя ссылка",IF(G19="PARENT","Вернуться туда, откуда открыто",IFERROR(INDEX(Реестр!$C:$C,MATCH(G19,Реестр!$A:$A,0)),"⚠ нет в реестре"))))</f>
        <v/>
      </c>
      <c r="I19" s="27" t="n"/>
      <c r="J19" s="28" t="inlineStr">
        <is>
          <t>Связано</t>
        </is>
      </c>
      <c r="K19" s="27" t="inlineStr">
        <is>
          <t>«Вернуться ко входу» → AUTH-01 или AUTH-04, откуда пришли</t>
        </is>
      </c>
    </row>
    <row r="20" ht="15" customHeight="1" s="13">
      <c r="A20" s="27" t="inlineStr">
        <is>
          <t>L-026</t>
        </is>
      </c>
      <c r="B20" s="27" t="inlineStr">
        <is>
          <t>BOOK</t>
        </is>
      </c>
      <c r="C20" s="27" t="inlineStr">
        <is>
          <t>BOOK-01</t>
        </is>
      </c>
      <c r="D20" s="29">
        <f>IFERROR(INDEX(Реестр!$C:$C,MATCH(C20,Реестр!$A:$A,0)),"⚠ нет в реестре")</f>
        <v/>
      </c>
      <c r="E20" s="27" t="inlineStr">
        <is>
          <t>Карточка услуги (добавить в корзину визита)</t>
        </is>
      </c>
      <c r="F20" s="27" t="inlineStr">
        <is>
          <t>Переход</t>
        </is>
      </c>
      <c r="G20" s="27" t="inlineStr">
        <is>
          <t>BOOK-01</t>
        </is>
      </c>
      <c r="H20" s="29">
        <f>IF(G20="ANCHOR","Прокрутка к секции",IF(G20="EXT","Внешняя ссылка",IF(G20="PARENT","Вернуться туда, откуда открыто",IFERROR(INDEX(Реестр!$C:$C,MATCH(G20,Реестр!$A:$A,0)),"⚠ нет в реестре"))))</f>
        <v/>
      </c>
      <c r="I20" s="27" t="inlineStr">
        <is>
          <t>Выбор без ухода со страницы, мультивыбор</t>
        </is>
      </c>
      <c r="J20" s="28" t="inlineStr">
        <is>
          <t>Связано</t>
        </is>
      </c>
      <c r="K20" s="27" t="inlineStr">
        <is>
          <t>Кнопка «Добавить» на карточке; клик по карточке открывает детали BOOK-M4</t>
        </is>
      </c>
    </row>
    <row r="21" ht="23.85" customHeight="1" s="13">
      <c r="A21" s="27" t="inlineStr">
        <is>
          <t>L-027</t>
        </is>
      </c>
      <c r="B21" s="27" t="inlineStr">
        <is>
          <t>BOOK</t>
        </is>
      </c>
      <c r="C21" s="27" t="inlineStr">
        <is>
          <t>BOOK-01</t>
        </is>
      </c>
      <c r="D21" s="29">
        <f>IFERROR(INDEX(Реестр!$C:$C,MATCH(C21,Реестр!$A:$A,0)),"⚠ нет в реестре")</f>
        <v/>
      </c>
      <c r="E21" s="27" t="inlineStr">
        <is>
          <t>Кнопка «Далее»</t>
        </is>
      </c>
      <c r="F21" s="27" t="inlineStr">
        <is>
          <t>Переход</t>
        </is>
      </c>
      <c r="G21" s="27" t="inlineStr">
        <is>
          <t>BOOK-02</t>
        </is>
      </c>
      <c r="H21" s="29">
        <f>IF(G21="ANCHOR","Прокрутка к секции",IF(G21="EXT","Внешняя ссылка",IF(G21="PARENT","Вернуться туда, откуда открыто",IFERROR(INDEX(Реестр!$C:$C,MATCH(G21,Реестр!$A:$A,0)),"⚠ нет в реестре"))))</f>
        <v/>
      </c>
      <c r="I21" s="27" t="n"/>
      <c r="J21" s="28" t="inlineStr">
        <is>
          <t>Связано</t>
        </is>
      </c>
      <c r="K21" s="27" t="inlineStr">
        <is>
          <t>Кнопка в плашке корзины</t>
        </is>
      </c>
    </row>
    <row r="22" ht="15" customHeight="1" s="13">
      <c r="A22" s="27" t="inlineStr">
        <is>
          <t>L-028</t>
        </is>
      </c>
      <c r="B22" s="27" t="inlineStr">
        <is>
          <t>BOOK</t>
        </is>
      </c>
      <c r="C22" s="27" t="inlineStr">
        <is>
          <t>BOOK-01</t>
        </is>
      </c>
      <c r="D22" s="29">
        <f>IFERROR(INDEX(Реестр!$C:$C,MATCH(C22,Реестр!$A:$A,0)),"⚠ нет в реестре")</f>
        <v/>
      </c>
      <c r="E22" s="27" t="inlineStr">
        <is>
          <t>Кнопка «Далее» при входе из профиля мастера</t>
        </is>
      </c>
      <c r="F22" s="27" t="inlineStr">
        <is>
          <t>Переход</t>
        </is>
      </c>
      <c r="G22" s="27" t="inlineStr">
        <is>
          <t>BOOK-03</t>
        </is>
      </c>
      <c r="H22" s="29">
        <f>IF(G22="ANCHOR","Прокрутка к секции",IF(G22="EXT","Внешняя ссылка",IF(G22="PARENT","Вернуться туда, откуда открыто",IFERROR(INDEX(Реестр!$C:$C,MATCH(G22,Реестр!$A:$A,0)),"⚠ нет в реестре"))))</f>
        <v/>
      </c>
      <c r="I22" s="27" t="inlineStr">
        <is>
          <t>Мастер уже выбран, шаг 2 пропускается. Условный переход</t>
        </is>
      </c>
      <c r="J22" s="28" t="inlineStr">
        <is>
          <t>Связано</t>
        </is>
      </c>
      <c r="K22" s="27" t="inlineStr">
        <is>
          <t>Реализовано: при закреплённом мастере кнопка ведёт сразу на BOOK-03</t>
        </is>
      </c>
    </row>
    <row r="23" ht="15" customHeight="1" s="13">
      <c r="A23" s="27" t="inlineStr">
        <is>
          <t>L-029</t>
        </is>
      </c>
      <c r="B23" s="27" t="inlineStr">
        <is>
          <t>BOOK</t>
        </is>
      </c>
      <c r="C23" s="27" t="inlineStr">
        <is>
          <t>BOOK-02</t>
        </is>
      </c>
      <c r="D23" s="29">
        <f>IFERROR(INDEX(Реестр!$C:$C,MATCH(C23,Реестр!$A:$A,0)),"⚠ нет в реестре")</f>
        <v/>
      </c>
      <c r="E23" s="27" t="inlineStr">
        <is>
          <t>Карточка мастера</t>
        </is>
      </c>
      <c r="F23" s="27" t="inlineStr">
        <is>
          <t>Переход</t>
        </is>
      </c>
      <c r="G23" s="27" t="inlineStr">
        <is>
          <t>BOOK-03</t>
        </is>
      </c>
      <c r="H23" s="29">
        <f>IF(G23="ANCHOR","Прокрутка к секции",IF(G23="EXT","Внешняя ссылка",IF(G23="PARENT","Вернуться туда, откуда открыто",IFERROR(INDEX(Реестр!$C:$C,MATCH(G23,Реестр!$A:$A,0)),"⚠ нет в реестре"))))</f>
        <v/>
      </c>
      <c r="I23" s="27" t="n"/>
      <c r="J23" s="28" t="inlineStr">
        <is>
          <t>Связано</t>
        </is>
      </c>
      <c r="K23" s="27" t="n"/>
    </row>
    <row r="24" ht="15" customHeight="1" s="13">
      <c r="A24" s="27" t="inlineStr">
        <is>
          <t>L-030</t>
        </is>
      </c>
      <c r="B24" s="27" t="inlineStr">
        <is>
          <t>BOOK</t>
        </is>
      </c>
      <c r="C24" s="27" t="inlineStr">
        <is>
          <t>BOOK-02</t>
        </is>
      </c>
      <c r="D24" s="29">
        <f>IFERROR(INDEX(Реестр!$C:$C,MATCH(C24,Реестр!$A:$A,0)),"⚠ нет в реестре")</f>
        <v/>
      </c>
      <c r="E24" s="27" t="inlineStr">
        <is>
          <t>Вариант «Любой мастер»</t>
        </is>
      </c>
      <c r="F24" s="27" t="inlineStr">
        <is>
          <t>Переход</t>
        </is>
      </c>
      <c r="G24" s="27" t="inlineStr">
        <is>
          <t>BOOK-03</t>
        </is>
      </c>
      <c r="H24" s="29">
        <f>IF(G24="ANCHOR","Прокрутка к секции",IF(G24="EXT","Внешняя ссылка",IF(G24="PARENT","Вернуться туда, откуда открыто",IFERROR(INDEX(Реестр!$C:$C,MATCH(G24,Реестр!$A:$A,0)),"⚠ нет в реестре"))))</f>
        <v/>
      </c>
      <c r="I24" s="27" t="n"/>
      <c r="J24" s="28" t="inlineStr">
        <is>
          <t>Связано</t>
        </is>
      </c>
      <c r="K24" s="27" t="inlineStr">
        <is>
          <t>«Любой свободный мастер»</t>
        </is>
      </c>
    </row>
    <row r="25" ht="23.85" customHeight="1" s="13">
      <c r="A25" s="27" t="inlineStr">
        <is>
          <t>L-031</t>
        </is>
      </c>
      <c r="B25" s="27" t="inlineStr">
        <is>
          <t>BOOK</t>
        </is>
      </c>
      <c r="C25" s="27" t="inlineStr">
        <is>
          <t>BOOK-02</t>
        </is>
      </c>
      <c r="D25" s="29">
        <f>IFERROR(INDEX(Реестр!$C:$C,MATCH(C25,Реестр!$A:$A,0)),"⚠ нет в реестре")</f>
        <v/>
      </c>
      <c r="E25" s="27" t="inlineStr">
        <is>
          <t>«Назад»</t>
        </is>
      </c>
      <c r="F25" s="27" t="inlineStr">
        <is>
          <t>Назад</t>
        </is>
      </c>
      <c r="G25" s="27" t="inlineStr">
        <is>
          <t>BOOK-01</t>
        </is>
      </c>
      <c r="H25" s="29">
        <f>IF(G25="ANCHOR","Прокрутка к секции",IF(G25="EXT","Внешняя ссылка",IF(G25="PARENT","Вернуться туда, откуда открыто",IFERROR(INDEX(Реестр!$C:$C,MATCH(G25,Реестр!$A:$A,0)),"⚠ нет в реестре"))))</f>
        <v/>
      </c>
      <c r="I25" s="27" t="n"/>
      <c r="J25" s="28" t="inlineStr">
        <is>
          <t>Связано</t>
        </is>
      </c>
      <c r="K25" s="27" t="inlineStr">
        <is>
          <t>«← Назад» в шапке записи</t>
        </is>
      </c>
    </row>
    <row r="26" ht="23.85" customHeight="1" s="13">
      <c r="A26" s="27" t="inlineStr">
        <is>
          <t>L-032</t>
        </is>
      </c>
      <c r="B26" s="27" t="inlineStr">
        <is>
          <t>BOOK</t>
        </is>
      </c>
      <c r="C26" s="27" t="inlineStr">
        <is>
          <t>BOOK-03</t>
        </is>
      </c>
      <c r="D26" s="29">
        <f>IFERROR(INDEX(Реестр!$C:$C,MATCH(C26,Реестр!$A:$A,0)),"⚠ нет в реестре")</f>
        <v/>
      </c>
      <c r="E26" s="27" t="inlineStr">
        <is>
          <t>Свободный слот времени</t>
        </is>
      </c>
      <c r="F26" s="27" t="inlineStr">
        <is>
          <t>Переход</t>
        </is>
      </c>
      <c r="G26" s="27" t="inlineStr">
        <is>
          <t>BOOK-04</t>
        </is>
      </c>
      <c r="H26" s="29">
        <f>IF(G26="ANCHOR","Прокрутка к секции",IF(G26="EXT","Внешняя ссылка",IF(G26="PARENT","Вернуться туда, откуда открыто",IFERROR(INDEX(Реестр!$C:$C,MATCH(G26,Реестр!$A:$A,0)),"⚠ нет в реестре"))))</f>
        <v/>
      </c>
      <c r="I26" s="27" t="n"/>
      <c r="J26" s="28" t="inlineStr">
        <is>
          <t>Связано</t>
        </is>
      </c>
      <c r="K26" s="27" t="inlineStr">
        <is>
          <t>Слот выбирается, переход — кнопкой «Продолжить». Без авторизации → AUTH-01</t>
        </is>
      </c>
    </row>
    <row r="27" ht="23.85" customHeight="1" s="13">
      <c r="A27" s="27" t="inlineStr">
        <is>
          <t>L-034</t>
        </is>
      </c>
      <c r="B27" s="27" t="inlineStr">
        <is>
          <t>BOOK</t>
        </is>
      </c>
      <c r="C27" s="27" t="inlineStr">
        <is>
          <t>BOOK-04</t>
        </is>
      </c>
      <c r="D27" s="29">
        <f>IFERROR(INDEX(Реестр!$C:$C,MATCH(C27,Реестр!$A:$A,0)),"⚠ нет в реестре")</f>
        <v/>
      </c>
      <c r="E27" s="27" t="inlineStr">
        <is>
          <t>Кнопка «Записаться», если время уже заняли</t>
        </is>
      </c>
      <c r="F27" s="27" t="inlineStr">
        <is>
          <t>Модалка</t>
        </is>
      </c>
      <c r="G27" s="27" t="inlineStr">
        <is>
          <t>BOOK-M1</t>
        </is>
      </c>
      <c r="H27" s="29">
        <f>IF(G27="ANCHOR","Прокрутка к секции",IF(G27="EXT","Внешняя ссылка",IF(G27="PARENT","Вернуться туда, откуда открыто",IFERROR(INDEX(Реестр!$C:$C,MATCH(G27,Реестр!$A:$A,0)),"⚠ нет в реестре"))))</f>
        <v/>
      </c>
      <c r="I27" s="27" t="inlineStr">
        <is>
          <t>Сценарий «Слот заняли» в панели разработчика. На BOOK-03 показываются только свободные слоты</t>
        </is>
      </c>
      <c r="J27" s="28" t="inlineStr">
        <is>
          <t>Связано</t>
        </is>
      </c>
      <c r="K27" s="27" t="inlineStr">
        <is>
          <t>Переписано под прототип 25.09.2026</t>
        </is>
      </c>
    </row>
    <row r="28" ht="23.85" customHeight="1" s="13">
      <c r="A28" s="27" t="inlineStr">
        <is>
          <t>L-035</t>
        </is>
      </c>
      <c r="B28" s="27" t="inlineStr">
        <is>
          <t>BOOK</t>
        </is>
      </c>
      <c r="C28" s="27" t="inlineStr">
        <is>
          <t>BOOK-03</t>
        </is>
      </c>
      <c r="D28" s="29">
        <f>IFERROR(INDEX(Реестр!$C:$C,MATCH(C28,Реестр!$A:$A,0)),"⚠ нет в реестре")</f>
        <v/>
      </c>
      <c r="E28" s="27" t="inlineStr">
        <is>
          <t>«Назад»</t>
        </is>
      </c>
      <c r="F28" s="27" t="inlineStr">
        <is>
          <t>Назад</t>
        </is>
      </c>
      <c r="G28" s="27" t="inlineStr">
        <is>
          <t>BOOK-02</t>
        </is>
      </c>
      <c r="H28" s="29">
        <f>IF(G28="ANCHOR","Прокрутка к секции",IF(G28="EXT","Внешняя ссылка",IF(G28="PARENT","Вернуться туда, откуда открыто",IFERROR(INDEX(Реестр!$C:$C,MATCH(G28,Реестр!$A:$A,0)),"⚠ нет в реестре"))))</f>
        <v/>
      </c>
      <c r="I28" s="27" t="n"/>
      <c r="J28" s="28" t="inlineStr">
        <is>
          <t>Связано</t>
        </is>
      </c>
      <c r="K28" s="27" t="inlineStr">
        <is>
          <t>«← Назад» в шапке записи</t>
        </is>
      </c>
    </row>
    <row r="29" ht="23.85" customHeight="1" s="13">
      <c r="A29" s="27" t="inlineStr">
        <is>
          <t>L-038</t>
        </is>
      </c>
      <c r="B29" s="27" t="inlineStr">
        <is>
          <t>BOOK</t>
        </is>
      </c>
      <c r="C29" s="27" t="inlineStr">
        <is>
          <t>BOOK-M1</t>
        </is>
      </c>
      <c r="D29" s="29">
        <f>IFERROR(INDEX(Реестр!$C:$C,MATCH(C29,Реестр!$A:$A,0)),"⚠ нет в реестре")</f>
        <v/>
      </c>
      <c r="E29" s="27" t="inlineStr">
        <is>
          <t>Кнопка «Выбрать другое время»</t>
        </is>
      </c>
      <c r="F29" s="27" t="inlineStr">
        <is>
          <t>Закрыть оверлей</t>
        </is>
      </c>
      <c r="G29" s="27" t="inlineStr">
        <is>
          <t>BOOK-03</t>
        </is>
      </c>
      <c r="H29" s="29">
        <f>IF(G29="ANCHOR","Прокрутка к секции",IF(G29="EXT","Внешняя ссылка",IF(G29="PARENT","Вернуться туда, откуда открыто",IFERROR(INDEX(Реестр!$C:$C,MATCH(G29,Реестр!$A:$A,0)),"⚠ нет в реестре"))))</f>
        <v/>
      </c>
      <c r="I29" s="27" t="n"/>
      <c r="J29" s="28" t="inlineStr">
        <is>
          <t>Связано</t>
        </is>
      </c>
      <c r="K29" s="27" t="inlineStr">
        <is>
          <t>Плюс чипсы альтернативного времени</t>
        </is>
      </c>
    </row>
    <row r="30" ht="15" customHeight="1" s="13">
      <c r="A30" s="27" t="inlineStr">
        <is>
          <t>L-040</t>
        </is>
      </c>
      <c r="B30" s="27" t="inlineStr">
        <is>
          <t>BOOK</t>
        </is>
      </c>
      <c r="C30" s="27" t="inlineStr">
        <is>
          <t>BOOK-03</t>
        </is>
      </c>
      <c r="D30" s="29">
        <f>IFERROR(INDEX(Реестр!$C:$C,MATCH(C30,Реестр!$A:$A,0)),"⚠ нет в реестре")</f>
        <v/>
      </c>
      <c r="E30" s="27" t="inlineStr">
        <is>
          <t>Кнопка «Продолжить» без авторизации</t>
        </is>
      </c>
      <c r="F30" s="27" t="inlineStr">
        <is>
          <t>Переход</t>
        </is>
      </c>
      <c r="G30" s="27" t="inlineStr">
        <is>
          <t>AUTH-01</t>
        </is>
      </c>
      <c r="H30" s="29">
        <f>IF(G30="ANCHOR","Прокрутка к секции",IF(G30="EXT","Внешняя ссылка",IF(G30="PARENT","Вернуться туда, откуда открыто",IFERROR(INDEX(Реестр!$C:$C,MATCH(G30,Реестр!$A:$A,0)),"⚠ нет в реестре"))))</f>
        <v/>
      </c>
      <c r="I30" s="27" t="inlineStr">
        <is>
          <t>После входа — сразу BOOK-04</t>
        </is>
      </c>
      <c r="J30" s="28" t="inlineStr">
        <is>
          <t>Связано</t>
        </is>
      </c>
      <c r="K30" s="27" t="inlineStr">
        <is>
          <t>Переписано под прототип 25.09.2026 (заменяет L-230)</t>
        </is>
      </c>
    </row>
    <row r="31" ht="15" customHeight="1" s="13">
      <c r="A31" s="27" t="inlineStr">
        <is>
          <t>L-041</t>
        </is>
      </c>
      <c r="B31" s="27" t="inlineStr">
        <is>
          <t>BOOK</t>
        </is>
      </c>
      <c r="C31" s="27" t="inlineStr">
        <is>
          <t>BOOK-04</t>
        </is>
      </c>
      <c r="D31" s="29">
        <f>IFERROR(INDEX(Реестр!$C:$C,MATCH(C31,Реестр!$A:$A,0)),"⚠ нет в реестре")</f>
        <v/>
      </c>
      <c r="E31" s="27" t="inlineStr">
        <is>
          <t>Кнопка «Записаться»</t>
        </is>
      </c>
      <c r="F31" s="27" t="inlineStr">
        <is>
          <t>Переход</t>
        </is>
      </c>
      <c r="G31" s="27" t="inlineStr">
        <is>
          <t>BOOK-05</t>
        </is>
      </c>
      <c r="H31" s="29">
        <f>IF(G31="ANCHOR","Прокрутка к секции",IF(G31="EXT","Внешняя ссылка",IF(G31="PARENT","Вернуться туда, откуда открыто",IFERROR(INDEX(Реестр!$C:$C,MATCH(G31,Реестр!$A:$A,0)),"⚠ нет в реестре"))))</f>
        <v/>
      </c>
      <c r="I31" s="27" t="n"/>
      <c r="J31" s="28" t="inlineStr">
        <is>
          <t>Связано</t>
        </is>
      </c>
      <c r="K31" s="27" t="n"/>
    </row>
    <row r="32" ht="23.85" customHeight="1" s="13">
      <c r="A32" s="27" t="inlineStr">
        <is>
          <t>L-042</t>
        </is>
      </c>
      <c r="B32" s="27" t="inlineStr">
        <is>
          <t>BOOK</t>
        </is>
      </c>
      <c r="C32" s="27" t="inlineStr">
        <is>
          <t>BOOK-04</t>
        </is>
      </c>
      <c r="D32" s="29">
        <f>IFERROR(INDEX(Реестр!$C:$C,MATCH(C32,Реестр!$A:$A,0)),"⚠ нет в реестре")</f>
        <v/>
      </c>
      <c r="E32" s="27" t="inlineStr">
        <is>
          <t>Ошибка при отправке (демо)</t>
        </is>
      </c>
      <c r="F32" s="27" t="inlineStr">
        <is>
          <t>Переход</t>
        </is>
      </c>
      <c r="G32" s="27" t="inlineStr">
        <is>
          <t>BOOK-06</t>
        </is>
      </c>
      <c r="H32" s="29">
        <f>IF(G32="ANCHOR","Прокрутка к секции",IF(G32="EXT","Внешняя ссылка",IF(G32="PARENT","Вернуться туда, откуда открыто",IFERROR(INDEX(Реестр!$C:$C,MATCH(G32,Реестр!$A:$A,0)),"⚠ нет в реестре"))))</f>
        <v/>
      </c>
      <c r="I32" s="27" t="inlineStr">
        <is>
          <t>Условный переход</t>
        </is>
      </c>
      <c r="J32" s="28" t="inlineStr">
        <is>
          <t>Связано</t>
        </is>
      </c>
      <c r="K32" s="27" t="inlineStr">
        <is>
          <t>Сценарий «Ошибка сервера» в панели разработчика</t>
        </is>
      </c>
    </row>
    <row r="33" ht="15" customHeight="1" s="13">
      <c r="A33" s="27" t="inlineStr">
        <is>
          <t>L-043</t>
        </is>
      </c>
      <c r="B33" s="27" t="inlineStr">
        <is>
          <t>BOOK</t>
        </is>
      </c>
      <c r="C33" s="27" t="inlineStr">
        <is>
          <t>BOOK-04</t>
        </is>
      </c>
      <c r="D33" s="29">
        <f>IFERROR(INDEX(Реестр!$C:$C,MATCH(C33,Реестр!$A:$A,0)),"⚠ нет в реестре")</f>
        <v/>
      </c>
      <c r="E33" s="27" t="inlineStr">
        <is>
          <t>«Изменить» у услуг</t>
        </is>
      </c>
      <c r="F33" s="27" t="inlineStr">
        <is>
          <t>Переход</t>
        </is>
      </c>
      <c r="G33" s="27" t="inlineStr">
        <is>
          <t>BOOK-01</t>
        </is>
      </c>
      <c r="H33" s="29">
        <f>IF(G33="ANCHOR","Прокрутка к секции",IF(G33="EXT","Внешняя ссылка",IF(G33="PARENT","Вернуться туда, откуда открыто",IFERROR(INDEX(Реестр!$C:$C,MATCH(G33,Реестр!$A:$A,0)),"⚠ нет в реестре"))))</f>
        <v/>
      </c>
      <c r="I33" s="27" t="n"/>
      <c r="J33" s="28" t="inlineStr">
        <is>
          <t>Связано</t>
        </is>
      </c>
      <c r="K33" s="27" t="n"/>
    </row>
    <row r="34" ht="15" customHeight="1" s="13">
      <c r="A34" s="27" t="inlineStr">
        <is>
          <t>L-044</t>
        </is>
      </c>
      <c r="B34" s="27" t="inlineStr">
        <is>
          <t>BOOK</t>
        </is>
      </c>
      <c r="C34" s="27" t="inlineStr">
        <is>
          <t>BOOK-04</t>
        </is>
      </c>
      <c r="D34" s="29">
        <f>IFERROR(INDEX(Реестр!$C:$C,MATCH(C34,Реестр!$A:$A,0)),"⚠ нет в реестре")</f>
        <v/>
      </c>
      <c r="E34" s="27" t="inlineStr">
        <is>
          <t>«Изменить» у мастера</t>
        </is>
      </c>
      <c r="F34" s="27" t="inlineStr">
        <is>
          <t>Переход</t>
        </is>
      </c>
      <c r="G34" s="27" t="inlineStr">
        <is>
          <t>BOOK-02</t>
        </is>
      </c>
      <c r="H34" s="29">
        <f>IF(G34="ANCHOR","Прокрутка к секции",IF(G34="EXT","Внешняя ссылка",IF(G34="PARENT","Вернуться туда, откуда открыто",IFERROR(INDEX(Реестр!$C:$C,MATCH(G34,Реестр!$A:$A,0)),"⚠ нет в реестре"))))</f>
        <v/>
      </c>
      <c r="I34" s="27" t="n"/>
      <c r="J34" s="28" t="inlineStr">
        <is>
          <t>Связано</t>
        </is>
      </c>
      <c r="K34" s="27" t="n"/>
    </row>
    <row r="35" ht="15" customHeight="1" s="13">
      <c r="A35" s="27" t="inlineStr">
        <is>
          <t>L-045</t>
        </is>
      </c>
      <c r="B35" s="27" t="inlineStr">
        <is>
          <t>BOOK</t>
        </is>
      </c>
      <c r="C35" s="27" t="inlineStr">
        <is>
          <t>BOOK-04</t>
        </is>
      </c>
      <c r="D35" s="29">
        <f>IFERROR(INDEX(Реестр!$C:$C,MATCH(C35,Реестр!$A:$A,0)),"⚠ нет в реестре")</f>
        <v/>
      </c>
      <c r="E35" s="27" t="inlineStr">
        <is>
          <t>«Изменить» у времени</t>
        </is>
      </c>
      <c r="F35" s="27" t="inlineStr">
        <is>
          <t>Переход</t>
        </is>
      </c>
      <c r="G35" s="27" t="inlineStr">
        <is>
          <t>BOOK-03</t>
        </is>
      </c>
      <c r="H35" s="29">
        <f>IF(G35="ANCHOR","Прокрутка к секции",IF(G35="EXT","Внешняя ссылка",IF(G35="PARENT","Вернуться туда, откуда открыто",IFERROR(INDEX(Реестр!$C:$C,MATCH(G35,Реестр!$A:$A,0)),"⚠ нет в реестре"))))</f>
        <v/>
      </c>
      <c r="I35" s="27" t="n"/>
      <c r="J35" s="28" t="inlineStr">
        <is>
          <t>Связано</t>
        </is>
      </c>
      <c r="K35" s="27" t="n"/>
    </row>
    <row r="36" ht="15" customHeight="1" s="13">
      <c r="A36" s="27" t="inlineStr">
        <is>
          <t>L-046</t>
        </is>
      </c>
      <c r="B36" s="27" t="inlineStr">
        <is>
          <t>BOOK</t>
        </is>
      </c>
      <c r="C36" s="27" t="inlineStr">
        <is>
          <t>BOOK-04</t>
        </is>
      </c>
      <c r="D36" s="29">
        <f>IFERROR(INDEX(Реестр!$C:$C,MATCH(C36,Реестр!$A:$A,0)),"⚠ нет в реестре")</f>
        <v/>
      </c>
      <c r="E36" s="27" t="inlineStr">
        <is>
          <t>«Назад»</t>
        </is>
      </c>
      <c r="F36" s="27" t="inlineStr">
        <is>
          <t>Назад</t>
        </is>
      </c>
      <c r="G36" s="27" t="inlineStr">
        <is>
          <t>BOOK-03</t>
        </is>
      </c>
      <c r="H36" s="29">
        <f>IF(G36="ANCHOR","Прокрутка к секции",IF(G36="EXT","Внешняя ссылка",IF(G36="PARENT","Вернуться туда, откуда открыто",IFERROR(INDEX(Реестр!$C:$C,MATCH(G36,Реестр!$A:$A,0)),"⚠ нет в реестре"))))</f>
        <v/>
      </c>
      <c r="I36" s="27" t="n"/>
      <c r="J36" s="28" t="inlineStr">
        <is>
          <t>Связано</t>
        </is>
      </c>
      <c r="K36" s="27" t="inlineStr">
        <is>
          <t>«← Назад» в шапке записи</t>
        </is>
      </c>
    </row>
    <row r="37" ht="23.85" customHeight="1" s="13">
      <c r="A37" s="27" t="inlineStr">
        <is>
          <t>L-047</t>
        </is>
      </c>
      <c r="B37" s="27" t="inlineStr">
        <is>
          <t>BOOK</t>
        </is>
      </c>
      <c r="C37" s="27" t="inlineStr">
        <is>
          <t>BOOK-05</t>
        </is>
      </c>
      <c r="D37" s="29">
        <f>IFERROR(INDEX(Реестр!$C:$C,MATCH(C37,Реестр!$A:$A,0)),"⚠ нет в реестре")</f>
        <v/>
      </c>
      <c r="E37" s="27" t="inlineStr">
        <is>
          <t>Кнопка «Мои записи»</t>
        </is>
      </c>
      <c r="F37" s="27" t="inlineStr">
        <is>
          <t>Переход</t>
        </is>
      </c>
      <c r="G37" s="27" t="inlineStr">
        <is>
          <t>CAB-01</t>
        </is>
      </c>
      <c r="H37" s="29">
        <f>IF(G37="ANCHOR","Прокрутка к секции",IF(G37="EXT","Внешняя ссылка",IF(G37="PARENT","Вернуться туда, откуда открыто",IFERROR(INDEX(Реестр!$C:$C,MATCH(G37,Реестр!$A:$A,0)),"⚠ нет в реестре"))))</f>
        <v/>
      </c>
      <c r="I37" s="27" t="n"/>
      <c r="J37" s="28" t="inlineStr">
        <is>
          <t>Связано</t>
        </is>
      </c>
      <c r="K37" s="27" t="n"/>
    </row>
    <row r="38" ht="15" customHeight="1" s="13">
      <c r="A38" s="27" t="inlineStr">
        <is>
          <t>L-048</t>
        </is>
      </c>
      <c r="B38" s="27" t="inlineStr">
        <is>
          <t>BOOK</t>
        </is>
      </c>
      <c r="C38" s="27" t="inlineStr">
        <is>
          <t>BOOK-05</t>
        </is>
      </c>
      <c r="D38" s="29">
        <f>IFERROR(INDEX(Реестр!$C:$C,MATCH(C38,Реестр!$A:$A,0)),"⚠ нет в реестре")</f>
        <v/>
      </c>
      <c r="E38" s="27" t="inlineStr">
        <is>
          <t>Кнопка «На главную»</t>
        </is>
      </c>
      <c r="F38" s="27" t="inlineStr">
        <is>
          <t>Переход</t>
        </is>
      </c>
      <c r="G38" s="27" t="inlineStr">
        <is>
          <t>PUB-01</t>
        </is>
      </c>
      <c r="H38" s="29">
        <f>IF(G38="ANCHOR","Прокрутка к секции",IF(G38="EXT","Внешняя ссылка",IF(G38="PARENT","Вернуться туда, откуда открыто",IFERROR(INDEX(Реестр!$C:$C,MATCH(G38,Реестр!$A:$A,0)),"⚠ нет в реестре"))))</f>
        <v/>
      </c>
      <c r="I38" s="27" t="n"/>
      <c r="J38" s="28" t="inlineStr">
        <is>
          <t>Нет элемента</t>
        </is>
      </c>
      <c r="K38" s="27" t="inlineStr">
        <is>
          <t>Нет. Есть «Записаться ещё» (→ BOOK-01), «Добавить в календарь», «Как добраться»</t>
        </is>
      </c>
    </row>
    <row r="39" ht="15" customHeight="1" s="13">
      <c r="A39" s="27" t="inlineStr">
        <is>
          <t>L-049</t>
        </is>
      </c>
      <c r="B39" s="27" t="inlineStr">
        <is>
          <t>BOOK</t>
        </is>
      </c>
      <c r="C39" s="27" t="inlineStr">
        <is>
          <t>BOOK-06</t>
        </is>
      </c>
      <c r="D39" s="29">
        <f>IFERROR(INDEX(Реестр!$C:$C,MATCH(C39,Реестр!$A:$A,0)),"⚠ нет в реестре")</f>
        <v/>
      </c>
      <c r="E39" s="27" t="inlineStr">
        <is>
          <t>Кнопка «Попробовать снова»</t>
        </is>
      </c>
      <c r="F39" s="27" t="inlineStr">
        <is>
          <t>Назад</t>
        </is>
      </c>
      <c r="G39" s="27" t="inlineStr">
        <is>
          <t>BOOK-04</t>
        </is>
      </c>
      <c r="H39" s="29">
        <f>IF(G39="ANCHOR","Прокрутка к секции",IF(G39="EXT","Внешняя ссылка",IF(G39="PARENT","Вернуться туда, откуда открыто",IFERROR(INDEX(Реестр!$C:$C,MATCH(G39,Реестр!$A:$A,0)),"⚠ нет в реестре"))))</f>
        <v/>
      </c>
      <c r="I39" s="27" t="n"/>
      <c r="J39" s="28" t="inlineStr">
        <is>
          <t>Связано</t>
        </is>
      </c>
      <c r="K39" s="27" t="inlineStr">
        <is>
          <t>«Повторить»</t>
        </is>
      </c>
    </row>
    <row r="40" ht="15" customHeight="1" s="13">
      <c r="A40" s="27" t="inlineStr">
        <is>
          <t>L-050</t>
        </is>
      </c>
      <c r="B40" s="27" t="inlineStr">
        <is>
          <t>BOOK</t>
        </is>
      </c>
      <c r="C40" s="27" t="inlineStr">
        <is>
          <t>BOOK-06</t>
        </is>
      </c>
      <c r="D40" s="29">
        <f>IFERROR(INDEX(Реестр!$C:$C,MATCH(C40,Реестр!$A:$A,0)),"⚠ нет в реестре")</f>
        <v/>
      </c>
      <c r="E40" s="27" t="inlineStr">
        <is>
          <t>Кнопка «На главную»</t>
        </is>
      </c>
      <c r="F40" s="27" t="inlineStr">
        <is>
          <t>Переход</t>
        </is>
      </c>
      <c r="G40" s="27" t="inlineStr">
        <is>
          <t>PUB-01</t>
        </is>
      </c>
      <c r="H40" s="29">
        <f>IF(G40="ANCHOR","Прокрутка к секции",IF(G40="EXT","Внешняя ссылка",IF(G40="PARENT","Вернуться туда, откуда открыто",IFERROR(INDEX(Реестр!$C:$C,MATCH(G40,Реестр!$A:$A,0)),"⚠ нет в реестре"))))</f>
        <v/>
      </c>
      <c r="I40" s="27" t="n"/>
      <c r="J40" s="28" t="inlineStr">
        <is>
          <t>Нет элемента</t>
        </is>
      </c>
      <c r="K40" s="27" t="inlineStr">
        <is>
          <t>Нет. Есть «Позвонить в салон»</t>
        </is>
      </c>
    </row>
    <row r="41" ht="15" customHeight="1" s="13">
      <c r="A41" s="27" t="inlineStr">
        <is>
          <t>L-051</t>
        </is>
      </c>
      <c r="B41" s="27" t="inlineStr">
        <is>
          <t>CAB</t>
        </is>
      </c>
      <c r="C41" s="27" t="inlineStr">
        <is>
          <t>CAB-01</t>
        </is>
      </c>
      <c r="D41" s="29">
        <f>IFERROR(INDEX(Реестр!$C:$C,MATCH(C41,Реестр!$A:$A,0)),"⚠ нет в реестре")</f>
        <v/>
      </c>
      <c r="E41" s="27" t="inlineStr">
        <is>
          <t>Карточка записи</t>
        </is>
      </c>
      <c r="F41" s="27" t="inlineStr">
        <is>
          <t>Переход</t>
        </is>
      </c>
      <c r="G41" s="27" t="inlineStr">
        <is>
          <t>CAB-03</t>
        </is>
      </c>
      <c r="H41" s="29">
        <f>IF(G41="ANCHOR","Прокрутка к секции",IF(G41="EXT","Внешняя ссылка",IF(G41="PARENT","Вернуться туда, откуда открыто",IFERROR(INDEX(Реестр!$C:$C,MATCH(G41,Реестр!$A:$A,0)),"⚠ нет в реестре"))))</f>
        <v/>
      </c>
      <c r="I41" s="27" t="n"/>
      <c r="J41" s="28" t="inlineStr">
        <is>
          <t>Связано</t>
        </is>
      </c>
      <c r="K41" s="27" t="inlineStr">
        <is>
          <t>«Подробнее» у ближайшей записи и строки остальных</t>
        </is>
      </c>
    </row>
    <row r="42" ht="15" customHeight="1" s="13">
      <c r="A42" s="27" t="inlineStr">
        <is>
          <t>L-052</t>
        </is>
      </c>
      <c r="B42" s="27" t="inlineStr">
        <is>
          <t>CAB</t>
        </is>
      </c>
      <c r="C42" s="27" t="inlineStr">
        <is>
          <t>CAB-01</t>
        </is>
      </c>
      <c r="D42" s="29">
        <f>IFERROR(INDEX(Реестр!$C:$C,MATCH(C42,Реестр!$A:$A,0)),"⚠ нет в реестре")</f>
        <v/>
      </c>
      <c r="E42" s="27" t="inlineStr">
        <is>
          <t>Кнопка «Записаться» (в пустом списке)</t>
        </is>
      </c>
      <c r="F42" s="27" t="inlineStr">
        <is>
          <t>Переход</t>
        </is>
      </c>
      <c r="G42" s="27" t="inlineStr">
        <is>
          <t>BOOK-01</t>
        </is>
      </c>
      <c r="H42" s="29">
        <f>IF(G42="ANCHOR","Прокрутка к секции",IF(G42="EXT","Внешняя ссылка",IF(G42="PARENT","Вернуться туда, откуда открыто",IFERROR(INDEX(Реестр!$C:$C,MATCH(G42,Реестр!$A:$A,0)),"⚠ нет в реестре"))))</f>
        <v/>
      </c>
      <c r="I42" s="27" t="n"/>
      <c r="J42" s="28" t="inlineStr">
        <is>
          <t>Связано</t>
        </is>
      </c>
      <c r="K42" s="27" t="inlineStr">
        <is>
          <t>«Записаться» в пустом списке, «Новая запись» при наличии записей</t>
        </is>
      </c>
    </row>
    <row r="43" ht="15" customHeight="1" s="13">
      <c r="A43" s="27" t="inlineStr">
        <is>
          <t>L-053</t>
        </is>
      </c>
      <c r="B43" s="27" t="inlineStr">
        <is>
          <t>CAB</t>
        </is>
      </c>
      <c r="C43" s="27" t="inlineStr">
        <is>
          <t>CAB-02</t>
        </is>
      </c>
      <c r="D43" s="29">
        <f>IFERROR(INDEX(Реестр!$C:$C,MATCH(C43,Реестр!$A:$A,0)),"⚠ нет в реестре")</f>
        <v/>
      </c>
      <c r="E43" s="27" t="inlineStr">
        <is>
          <t>Карточка прошедшего визита</t>
        </is>
      </c>
      <c r="F43" s="27" t="inlineStr">
        <is>
          <t>Переход</t>
        </is>
      </c>
      <c r="G43" s="27" t="inlineStr">
        <is>
          <t>CAB-03</t>
        </is>
      </c>
      <c r="H43" s="29">
        <f>IF(G43="ANCHOR","Прокрутка к секции",IF(G43="EXT","Внешняя ссылка",IF(G43="PARENT","Вернуться туда, откуда открыто",IFERROR(INDEX(Реестр!$C:$C,MATCH(G43,Реестр!$A:$A,0)),"⚠ нет в реестре"))))</f>
        <v/>
      </c>
      <c r="I43" s="27" t="n"/>
      <c r="J43" s="28" t="inlineStr">
        <is>
          <t>Связано</t>
        </is>
      </c>
      <c r="K43" s="27" t="inlineStr">
        <is>
          <t>«Подробнее»</t>
        </is>
      </c>
    </row>
    <row r="44" ht="23.85" customHeight="1" s="13">
      <c r="A44" s="27" t="inlineStr">
        <is>
          <t>L-055</t>
        </is>
      </c>
      <c r="B44" s="27" t="inlineStr">
        <is>
          <t>CAB</t>
        </is>
      </c>
      <c r="C44" s="27" t="inlineStr">
        <is>
          <t>CAB-02</t>
        </is>
      </c>
      <c r="D44" s="29">
        <f>IFERROR(INDEX(Реестр!$C:$C,MATCH(C44,Реестр!$A:$A,0)),"⚠ нет в реестре")</f>
        <v/>
      </c>
      <c r="E44" s="27" t="inlineStr">
        <is>
          <t>Кнопка «Записаться снова»</t>
        </is>
      </c>
      <c r="F44" s="27" t="inlineStr">
        <is>
          <t>Переход</t>
        </is>
      </c>
      <c r="G44" s="27" t="inlineStr">
        <is>
          <t>BOOK-01</t>
        </is>
      </c>
      <c r="H44" s="29">
        <f>IF(G44="ANCHOR","Прокрутка к секции",IF(G44="EXT","Внешняя ссылка",IF(G44="PARENT","Вернуться туда, откуда открыто",IFERROR(INDEX(Реестр!$C:$C,MATCH(G44,Реестр!$A:$A,0)),"⚠ нет в реестре"))))</f>
        <v/>
      </c>
      <c r="I44" s="27" t="inlineStr">
        <is>
          <t>Услуги и мастер подставлены</t>
        </is>
      </c>
      <c r="J44" s="28" t="inlineStr">
        <is>
          <t>Связано</t>
        </is>
      </c>
      <c r="K44" s="27" t="inlineStr">
        <is>
          <t>«Повторить» → BOOK-03 (услуга и мастер подставлены, шаги 1–2 пропускаются)</t>
        </is>
      </c>
    </row>
    <row r="45" ht="15" customHeight="1" s="13">
      <c r="A45" s="27" t="inlineStr">
        <is>
          <t>L-056</t>
        </is>
      </c>
      <c r="B45" s="27" t="inlineStr">
        <is>
          <t>CAB</t>
        </is>
      </c>
      <c r="C45" s="27" t="inlineStr">
        <is>
          <t>CAB-03</t>
        </is>
      </c>
      <c r="D45" s="29">
        <f>IFERROR(INDEX(Реестр!$C:$C,MATCH(C45,Реестр!$A:$A,0)),"⚠ нет в реестре")</f>
        <v/>
      </c>
      <c r="E45" s="27" t="inlineStr">
        <is>
          <t>Кнопка «Перенести»</t>
        </is>
      </c>
      <c r="F45" s="27" t="inlineStr">
        <is>
          <t>Переход</t>
        </is>
      </c>
      <c r="G45" s="27" t="inlineStr">
        <is>
          <t>CAB-04</t>
        </is>
      </c>
      <c r="H45" s="29">
        <f>IF(G45="ANCHOR","Прокрутка к секции",IF(G45="EXT","Внешняя ссылка",IF(G45="PARENT","Вернуться туда, откуда открыто",IFERROR(INDEX(Реестр!$C:$C,MATCH(G45,Реестр!$A:$A,0)),"⚠ нет в реестре"))))</f>
        <v/>
      </c>
      <c r="I45" s="27" t="n"/>
      <c r="J45" s="28" t="inlineStr">
        <is>
          <t>Связано</t>
        </is>
      </c>
      <c r="K45" s="27" t="n"/>
    </row>
    <row r="46" ht="15" customHeight="1" s="13">
      <c r="A46" s="27" t="inlineStr">
        <is>
          <t>L-057</t>
        </is>
      </c>
      <c r="B46" s="27" t="inlineStr">
        <is>
          <t>CAB</t>
        </is>
      </c>
      <c r="C46" s="27" t="inlineStr">
        <is>
          <t>CAB-03</t>
        </is>
      </c>
      <c r="D46" s="29">
        <f>IFERROR(INDEX(Реестр!$C:$C,MATCH(C46,Реестр!$A:$A,0)),"⚠ нет в реестре")</f>
        <v/>
      </c>
      <c r="E46" s="27" t="inlineStr">
        <is>
          <t>Кнопка «Отменить»</t>
        </is>
      </c>
      <c r="F46" s="27" t="inlineStr">
        <is>
          <t>Модалка</t>
        </is>
      </c>
      <c r="G46" s="27" t="inlineStr">
        <is>
          <t>CAB-05</t>
        </is>
      </c>
      <c r="H46" s="29">
        <f>IF(G46="ANCHOR","Прокрутка к секции",IF(G46="EXT","Внешняя ссылка",IF(G46="PARENT","Вернуться туда, откуда открыто",IFERROR(INDEX(Реестр!$C:$C,MATCH(G46,Реестр!$A:$A,0)),"⚠ нет в реестре"))))</f>
        <v/>
      </c>
      <c r="I46" s="27" t="n"/>
      <c r="J46" s="28" t="inlineStr">
        <is>
          <t>Связано</t>
        </is>
      </c>
      <c r="K46" s="27" t="n"/>
    </row>
    <row r="47" ht="15" customHeight="1" s="13">
      <c r="A47" s="27" t="inlineStr">
        <is>
          <t>L-058</t>
        </is>
      </c>
      <c r="B47" s="27" t="inlineStr">
        <is>
          <t>CAB</t>
        </is>
      </c>
      <c r="C47" s="27" t="inlineStr">
        <is>
          <t>CAB-03</t>
        </is>
      </c>
      <c r="D47" s="29">
        <f>IFERROR(INDEX(Реестр!$C:$C,MATCH(C47,Реестр!$A:$A,0)),"⚠ нет в реестре")</f>
        <v/>
      </c>
      <c r="E47" s="27" t="inlineStr">
        <is>
          <t>Имя мастера</t>
        </is>
      </c>
      <c r="F47" s="27" t="inlineStr">
        <is>
          <t>Переход</t>
        </is>
      </c>
      <c r="G47" s="27" t="inlineStr">
        <is>
          <t>PUB-05</t>
        </is>
      </c>
      <c r="H47" s="29">
        <f>IF(G47="ANCHOR","Прокрутка к секции",IF(G47="EXT","Внешняя ссылка",IF(G47="PARENT","Вернуться туда, откуда открыто",IFERROR(INDEX(Реестр!$C:$C,MATCH(G47,Реестр!$A:$A,0)),"⚠ нет в реестре"))))</f>
        <v/>
      </c>
      <c r="I47" s="27" t="inlineStr">
        <is>
          <t>25.09.2026: данные есть: bookings.master_id → masters. Нужно сделать имя мастера ссылкой в прототипе</t>
        </is>
      </c>
      <c r="J47" s="28" t="inlineStr">
        <is>
          <t>Связано</t>
        </is>
      </c>
      <c r="K47" s="27" t="inlineStr">
        <is>
          <t>Имя мастера в карточке записи — ссылка на #/masters/:id. Сделано 25.09.2026</t>
        </is>
      </c>
    </row>
    <row r="48" ht="15" customHeight="1" s="13">
      <c r="A48" s="27" t="inlineStr">
        <is>
          <t>L-059</t>
        </is>
      </c>
      <c r="B48" s="27" t="inlineStr">
        <is>
          <t>CAB</t>
        </is>
      </c>
      <c r="C48" s="27" t="inlineStr">
        <is>
          <t>CAB-03</t>
        </is>
      </c>
      <c r="D48" s="29">
        <f>IFERROR(INDEX(Реестр!$C:$C,MATCH(C48,Реестр!$A:$A,0)),"⚠ нет в реестре")</f>
        <v/>
      </c>
      <c r="E48" s="27" t="inlineStr">
        <is>
          <t>«Назад»</t>
        </is>
      </c>
      <c r="F48" s="27" t="inlineStr">
        <is>
          <t>Назад</t>
        </is>
      </c>
      <c r="G48" s="27" t="inlineStr">
        <is>
          <t>CAB-01</t>
        </is>
      </c>
      <c r="H48" s="29">
        <f>IF(G48="ANCHOR","Прокрутка к секции",IF(G48="EXT","Внешняя ссылка",IF(G48="PARENT","Вернуться туда, откуда открыто",IFERROR(INDEX(Реестр!$C:$C,MATCH(G48,Реестр!$A:$A,0)),"⚠ нет в реестре"))))</f>
        <v/>
      </c>
      <c r="I48" s="27" t="n"/>
      <c r="J48" s="28" t="inlineStr">
        <is>
          <t>Нет элемента</t>
        </is>
      </c>
      <c r="K48" s="27" t="inlineStr">
        <is>
          <t>Кнопки «Назад» нет, возврат через меню кабинета</t>
        </is>
      </c>
    </row>
    <row r="49" ht="46.25" customHeight="1" s="13">
      <c r="A49" s="27" t="inlineStr">
        <is>
          <t>L-060</t>
        </is>
      </c>
      <c r="B49" s="27" t="inlineStr">
        <is>
          <t>CAB</t>
        </is>
      </c>
      <c r="C49" s="27" t="inlineStr">
        <is>
          <t>CAB-04</t>
        </is>
      </c>
      <c r="D49" s="29">
        <f>IFERROR(INDEX(Реестр!$C:$C,MATCH(C49,Реестр!$A:$A,0)),"⚠ нет в реестре")</f>
        <v/>
      </c>
      <c r="E49" s="27" t="inlineStr">
        <is>
          <t>Кнопка «Подтвердить перенос»</t>
        </is>
      </c>
      <c r="F49" s="27" t="inlineStr">
        <is>
          <t>Переход</t>
        </is>
      </c>
      <c r="G49" s="27" t="inlineStr">
        <is>
          <t>CAB-03</t>
        </is>
      </c>
      <c r="H49" s="29">
        <f>IF(G49="ANCHOR","Прокрутка к секции",IF(G49="EXT","Внешняя ссылка",IF(G49="PARENT","Вернуться туда, откуда открыто",IFERROR(INDEX(Реестр!$C:$C,MATCH(G49,Реестр!$A:$A,0)),"⚠ нет в реестре"))))</f>
        <v/>
      </c>
      <c r="I49" s="27" t="inlineStr">
        <is>
          <t>Страница без меню кабинета, выход только этими кнопками</t>
        </is>
      </c>
      <c r="J49" s="28" t="inlineStr">
        <is>
          <t>Связано</t>
        </is>
      </c>
      <c r="K49" s="27" t="inlineStr">
        <is>
          <t>«Подтвердить» → «Запись перенесена» → «К записи» → CAB-03</t>
        </is>
      </c>
    </row>
    <row r="50" ht="15" customHeight="1" s="13">
      <c r="A50" s="27" t="inlineStr">
        <is>
          <t>L-061</t>
        </is>
      </c>
      <c r="B50" s="27" t="inlineStr">
        <is>
          <t>CAB</t>
        </is>
      </c>
      <c r="C50" s="27" t="inlineStr">
        <is>
          <t>CAB-04</t>
        </is>
      </c>
      <c r="D50" s="29">
        <f>IFERROR(INDEX(Реестр!$C:$C,MATCH(C50,Реестр!$A:$A,0)),"⚠ нет в реестре")</f>
        <v/>
      </c>
      <c r="E50" s="27" t="inlineStr">
        <is>
          <t>Кнопка «Отмена» / «Назад»</t>
        </is>
      </c>
      <c r="F50" s="27" t="inlineStr">
        <is>
          <t>Назад</t>
        </is>
      </c>
      <c r="G50" s="27" t="inlineStr">
        <is>
          <t>CAB-03</t>
        </is>
      </c>
      <c r="H50" s="29">
        <f>IF(G50="ANCHOR","Прокрутка к секции",IF(G50="EXT","Внешняя ссылка",IF(G50="PARENT","Вернуться туда, откуда открыто",IFERROR(INDEX(Реестр!$C:$C,MATCH(G50,Реестр!$A:$A,0)),"⚠ нет в реестре"))))</f>
        <v/>
      </c>
      <c r="I50" s="27" t="n"/>
      <c r="J50" s="28" t="inlineStr">
        <is>
          <t>Связано</t>
        </is>
      </c>
      <c r="K50" s="27" t="inlineStr">
        <is>
          <t>«Отмена» на выборе времени, «Назад» на сравнении</t>
        </is>
      </c>
    </row>
    <row r="51" ht="46.25" customHeight="1" s="13">
      <c r="A51" s="27" t="inlineStr">
        <is>
          <t>L-062</t>
        </is>
      </c>
      <c r="B51" s="27" t="inlineStr">
        <is>
          <t>CAB</t>
        </is>
      </c>
      <c r="C51" s="27" t="inlineStr">
        <is>
          <t>CAB-05</t>
        </is>
      </c>
      <c r="D51" s="29">
        <f>IFERROR(INDEX(Реестр!$C:$C,MATCH(C51,Реестр!$A:$A,0)),"⚠ нет в реестре")</f>
        <v/>
      </c>
      <c r="E51" s="27" t="inlineStr">
        <is>
          <t>Кнопка «Отменить запись»</t>
        </is>
      </c>
      <c r="F51" s="27" t="inlineStr">
        <is>
          <t>Переход</t>
        </is>
      </c>
      <c r="G51" s="27" t="inlineStr">
        <is>
          <t>CAB-01</t>
        </is>
      </c>
      <c r="H51" s="29">
        <f>IF(G51="ANCHOR","Прокрутка к секции",IF(G51="EXT","Внешняя ссылка",IF(G51="PARENT","Вернуться туда, откуда открыто",IFERROR(INDEX(Реестр!$C:$C,MATCH(G51,Реестр!$A:$A,0)),"⚠ нет в реестре"))))</f>
        <v/>
      </c>
      <c r="I51" s="27" t="n"/>
      <c r="J51" s="28" t="inlineStr">
        <is>
          <t>Связано</t>
        </is>
      </c>
      <c r="K51" s="27" t="inlineStr">
        <is>
          <t>Внутри модалки «Запись отменена» → «Закрыть» → CAB-01</t>
        </is>
      </c>
    </row>
    <row r="52" ht="15" customHeight="1" s="13">
      <c r="A52" s="27" t="inlineStr">
        <is>
          <t>L-063</t>
        </is>
      </c>
      <c r="B52" s="27" t="inlineStr">
        <is>
          <t>CAB</t>
        </is>
      </c>
      <c r="C52" s="27" t="inlineStr">
        <is>
          <t>CAB-05</t>
        </is>
      </c>
      <c r="D52" s="29">
        <f>IFERROR(INDEX(Реестр!$C:$C,MATCH(C52,Реестр!$A:$A,0)),"⚠ нет в реестре")</f>
        <v/>
      </c>
      <c r="E52" s="27" t="inlineStr">
        <is>
          <t>Кнопка «Не отменять»</t>
        </is>
      </c>
      <c r="F52" s="27" t="inlineStr">
        <is>
          <t>Закрыть оверлей</t>
        </is>
      </c>
      <c r="G52" s="27" t="inlineStr">
        <is>
          <t>CAB-03</t>
        </is>
      </c>
      <c r="H52" s="29">
        <f>IF(G52="ANCHOR","Прокрутка к секции",IF(G52="EXT","Внешняя ссылка",IF(G52="PARENT","Вернуться туда, откуда открыто",IFERROR(INDEX(Реестр!$C:$C,MATCH(G52,Реестр!$A:$A,0)),"⚠ нет в реестре"))))</f>
        <v/>
      </c>
      <c r="I52" s="27" t="n"/>
      <c r="J52" s="28" t="inlineStr">
        <is>
          <t>Связано</t>
        </is>
      </c>
      <c r="K52" s="27" t="n"/>
    </row>
    <row r="53" ht="23.85" customHeight="1" s="13">
      <c r="A53" s="27" t="inlineStr">
        <is>
          <t>L-066</t>
        </is>
      </c>
      <c r="B53" s="27" t="inlineStr">
        <is>
          <t>CAB</t>
        </is>
      </c>
      <c r="C53" s="27" t="inlineStr">
        <is>
          <t>CAB-07</t>
        </is>
      </c>
      <c r="D53" s="29">
        <f>IFERROR(INDEX(Реестр!$C:$C,MATCH(C53,Реестр!$A:$A,0)),"⚠ нет в реестре")</f>
        <v/>
      </c>
      <c r="E53" s="27" t="inlineStr">
        <is>
          <t>Кнопка «Выйти»</t>
        </is>
      </c>
      <c r="F53" s="27" t="inlineStr">
        <is>
          <t>Переход</t>
        </is>
      </c>
      <c r="G53" s="27" t="inlineStr">
        <is>
          <t>PUB-01</t>
        </is>
      </c>
      <c r="H53" s="29">
        <f>IF(G53="ANCHOR","Прокрутка к секции",IF(G53="EXT","Внешняя ссылка",IF(G53="PARENT","Вернуться туда, откуда открыто",IFERROR(INDEX(Реестр!$C:$C,MATCH(G53,Реестр!$A:$A,0)),"⚠ нет в реестре"))))</f>
        <v/>
      </c>
      <c r="I53" s="27" t="n"/>
      <c r="J53" s="28" t="inlineStr">
        <is>
          <t>Связано</t>
        </is>
      </c>
      <c r="K53" s="27" t="n"/>
    </row>
    <row r="54" ht="15" customHeight="1" s="13">
      <c r="A54" s="27" t="inlineStr">
        <is>
          <t>L-111</t>
        </is>
      </c>
      <c r="B54" s="27" t="inlineStr">
        <is>
          <t>A</t>
        </is>
      </c>
      <c r="C54" s="27" t="inlineStr">
        <is>
          <t>A-01</t>
        </is>
      </c>
      <c r="D54" s="29">
        <f>IFERROR(INDEX(Реестр!$C:$C,MATCH(C54,Реестр!$A:$A,0)),"⚠ нет в реестре")</f>
        <v/>
      </c>
      <c r="E54" s="27" t="inlineStr">
        <is>
          <t>Блок записи в сетке</t>
        </is>
      </c>
      <c r="F54" s="27" t="inlineStr">
        <is>
          <t>Поповер</t>
        </is>
      </c>
      <c r="G54" s="27" t="inlineStr">
        <is>
          <t>A-03</t>
        </is>
      </c>
      <c r="H54" s="29">
        <f>IF(G54="ANCHOR","Прокрутка к секции",IF(G54="EXT","Внешняя ссылка",IF(G54="PARENT","Вернуться туда, откуда открыто",IFERROR(INDEX(Реестр!$C:$C,MATCH(G54,Реестр!$A:$A,0)),"⚠ нет в реестре"))))</f>
        <v/>
      </c>
      <c r="I54" s="27" t="n"/>
      <c r="J54" s="28" t="inlineStr">
        <is>
          <t>Связано</t>
        </is>
      </c>
      <c r="K54" s="27" t="n"/>
    </row>
    <row r="55" ht="15" customHeight="1" s="13">
      <c r="A55" s="27" t="inlineStr">
        <is>
          <t>L-112</t>
        </is>
      </c>
      <c r="B55" s="27" t="inlineStr">
        <is>
          <t>A</t>
        </is>
      </c>
      <c r="C55" s="27" t="inlineStr">
        <is>
          <t>A-01</t>
        </is>
      </c>
      <c r="D55" s="29">
        <f>IFERROR(INDEX(Реестр!$C:$C,MATCH(C55,Реестр!$A:$A,0)),"⚠ нет в реестре")</f>
        <v/>
      </c>
      <c r="E55" s="27" t="inlineStr">
        <is>
          <t>Пустой слот в сетке</t>
        </is>
      </c>
      <c r="F55" s="27" t="inlineStr">
        <is>
          <t>Панель</t>
        </is>
      </c>
      <c r="G55" s="27" t="inlineStr">
        <is>
          <t>A-02</t>
        </is>
      </c>
      <c r="H55" s="29">
        <f>IF(G55="ANCHOR","Прокрутка к секции",IF(G55="EXT","Внешняя ссылка",IF(G55="PARENT","Вернуться туда, откуда открыто",IFERROR(INDEX(Реестр!$C:$C,MATCH(G55,Реестр!$A:$A,0)),"⚠ нет в реестре"))))</f>
        <v/>
      </c>
      <c r="I55" s="27" t="n"/>
      <c r="J55" s="28" t="inlineStr">
        <is>
          <t>Связано</t>
        </is>
      </c>
      <c r="K55" s="27" t="inlineStr">
        <is>
          <t>Клик по колонке мастера в свободное время</t>
        </is>
      </c>
    </row>
    <row r="56" ht="23.85" customHeight="1" s="13">
      <c r="A56" s="27" t="inlineStr">
        <is>
          <t>L-113</t>
        </is>
      </c>
      <c r="B56" s="27" t="inlineStr">
        <is>
          <t>A</t>
        </is>
      </c>
      <c r="C56" s="27" t="inlineStr">
        <is>
          <t>A-01</t>
        </is>
      </c>
      <c r="D56" s="29">
        <f>IFERROR(INDEX(Реестр!$C:$C,MATCH(C56,Реестр!$A:$A,0)),"⚠ нет в реестре")</f>
        <v/>
      </c>
      <c r="E56" s="27" t="inlineStr">
        <is>
          <t>Переключатель «Неделя»</t>
        </is>
      </c>
      <c r="F56" s="27" t="inlineStr">
        <is>
          <t>Переход</t>
        </is>
      </c>
      <c r="G56" s="27" t="inlineStr">
        <is>
          <t>A-01w</t>
        </is>
      </c>
      <c r="H56" s="29">
        <f>IF(G56="ANCHOR","Прокрутка к секции",IF(G56="EXT","Внешняя ссылка",IF(G56="PARENT","Вернуться туда, откуда открыто",IFERROR(INDEX(Реестр!$C:$C,MATCH(G56,Реестр!$A:$A,0)),"⚠ нет в реестре"))))</f>
        <v/>
      </c>
      <c r="I56" s="27" t="n"/>
      <c r="J56" s="28" t="inlineStr">
        <is>
          <t>Связано</t>
        </is>
      </c>
      <c r="K56" s="27" t="inlineStr">
        <is>
          <t>Переключатель «Неделя». Исправлено 25.09.2026</t>
        </is>
      </c>
    </row>
    <row r="57" ht="15" customHeight="1" s="13">
      <c r="A57" s="27" t="inlineStr">
        <is>
          <t>L-115</t>
        </is>
      </c>
      <c r="B57" s="27" t="inlineStr">
        <is>
          <t>A</t>
        </is>
      </c>
      <c r="C57" s="27" t="inlineStr">
        <is>
          <t>A-01w</t>
        </is>
      </c>
      <c r="D57" s="29">
        <f>IFERROR(INDEX(Реестр!$C:$C,MATCH(C57,Реестр!$A:$A,0)),"⚠ нет в реестре")</f>
        <v/>
      </c>
      <c r="E57" s="27" t="inlineStr">
        <is>
          <t>Переключатель «День»</t>
        </is>
      </c>
      <c r="F57" s="27" t="inlineStr">
        <is>
          <t>Переход</t>
        </is>
      </c>
      <c r="G57" s="27" t="inlineStr">
        <is>
          <t>A-01</t>
        </is>
      </c>
      <c r="H57" s="29">
        <f>IF(G57="ANCHOR","Прокрутка к секции",IF(G57="EXT","Внешняя ссылка",IF(G57="PARENT","Вернуться туда, откуда открыто",IFERROR(INDEX(Реестр!$C:$C,MATCH(G57,Реестр!$A:$A,0)),"⚠ нет в реестре"))))</f>
        <v/>
      </c>
      <c r="I57" s="27" t="n"/>
      <c r="J57" s="28" t="inlineStr">
        <is>
          <t>Связано</t>
        </is>
      </c>
      <c r="K57" s="27" t="inlineStr">
        <is>
          <t>Переключатель «День» и заголовок «Чт, 24». Исправлено 25.09.2026</t>
        </is>
      </c>
    </row>
    <row r="58" ht="15" customHeight="1" s="13">
      <c r="A58" s="27" t="inlineStr">
        <is>
          <t>L-116</t>
        </is>
      </c>
      <c r="B58" s="27" t="inlineStr">
        <is>
          <t>A</t>
        </is>
      </c>
      <c r="C58" s="27" t="inlineStr">
        <is>
          <t>A-01w</t>
        </is>
      </c>
      <c r="D58" s="29">
        <f>IFERROR(INDEX(Реестр!$C:$C,MATCH(C58,Реестр!$A:$A,0)),"⚠ нет в реестре")</f>
        <v/>
      </c>
      <c r="E58" s="27" t="inlineStr">
        <is>
          <t>Блок записи</t>
        </is>
      </c>
      <c r="F58" s="27" t="inlineStr">
        <is>
          <t>Поповер</t>
        </is>
      </c>
      <c r="G58" s="27" t="inlineStr">
        <is>
          <t>A-03</t>
        </is>
      </c>
      <c r="H58" s="29">
        <f>IF(G58="ANCHOR","Прокрутка к секции",IF(G58="EXT","Внешняя ссылка",IF(G58="PARENT","Вернуться туда, откуда открыто",IFERROR(INDEX(Реестр!$C:$C,MATCH(G58,Реестр!$A:$A,0)),"⚠ нет в реестре"))))</f>
        <v/>
      </c>
      <c r="I58" s="27" t="n"/>
      <c r="J58" s="28" t="inlineStr">
        <is>
          <t>Связано</t>
        </is>
      </c>
      <c r="K58" s="27" t="inlineStr">
        <is>
          <t>Записи четверга открывают поповер; остальные дни — демо-записи только для просмотра. Исправлено 25.09.2026</t>
        </is>
      </c>
    </row>
    <row r="59" ht="15" customHeight="1" s="13">
      <c r="A59" s="27" t="inlineStr">
        <is>
          <t>L-117</t>
        </is>
      </c>
      <c r="B59" s="27" t="inlineStr">
        <is>
          <t>A</t>
        </is>
      </c>
      <c r="C59" s="27" t="inlineStr">
        <is>
          <t>A-02</t>
        </is>
      </c>
      <c r="D59" s="29">
        <f>IFERROR(INDEX(Реестр!$C:$C,MATCH(C59,Реестр!$A:$A,0)),"⚠ нет в реестре")</f>
        <v/>
      </c>
      <c r="E59" s="27" t="inlineStr">
        <is>
          <t>Кнопка «Создать запись»</t>
        </is>
      </c>
      <c r="F59" s="27" t="inlineStr">
        <is>
          <t>Закрыть оверлей</t>
        </is>
      </c>
      <c r="G59" s="27" t="inlineStr">
        <is>
          <t>A-01</t>
        </is>
      </c>
      <c r="H59" s="29">
        <f>IF(G59="ANCHOR","Прокрутка к секции",IF(G59="EXT","Внешняя ссылка",IF(G59="PARENT","Вернуться туда, откуда открыто",IFERROR(INDEX(Реестр!$C:$C,MATCH(G59,Реестр!$A:$A,0)),"⚠ нет в реестре"))))</f>
        <v/>
      </c>
      <c r="I59" s="27" t="n"/>
      <c r="J59" s="28" t="inlineStr">
        <is>
          <t>Связано</t>
        </is>
      </c>
      <c r="K59" s="27" t="n"/>
    </row>
    <row r="60" ht="15" customHeight="1" s="13">
      <c r="A60" s="27" t="inlineStr">
        <is>
          <t>L-118</t>
        </is>
      </c>
      <c r="B60" s="27" t="inlineStr">
        <is>
          <t>A</t>
        </is>
      </c>
      <c r="C60" s="27" t="inlineStr">
        <is>
          <t>A-02</t>
        </is>
      </c>
      <c r="D60" s="29">
        <f>IFERROR(INDEX(Реестр!$C:$C,MATCH(C60,Реестр!$A:$A,0)),"⚠ нет в реестре")</f>
        <v/>
      </c>
      <c r="E60" s="27" t="inlineStr">
        <is>
          <t>Кнопка «Отмена»</t>
        </is>
      </c>
      <c r="F60" s="27" t="inlineStr">
        <is>
          <t>Закрыть оверлей</t>
        </is>
      </c>
      <c r="G60" s="27" t="inlineStr">
        <is>
          <t>A-01</t>
        </is>
      </c>
      <c r="H60" s="29">
        <f>IF(G60="ANCHOR","Прокрутка к секции",IF(G60="EXT","Внешняя ссылка",IF(G60="PARENT","Вернуться туда, откуда открыто",IFERROR(INDEX(Реестр!$C:$C,MATCH(G60,Реестр!$A:$A,0)),"⚠ нет в реестре"))))</f>
        <v/>
      </c>
      <c r="I60" s="27" t="n"/>
      <c r="J60" s="28" t="inlineStr">
        <is>
          <t>Связано</t>
        </is>
      </c>
      <c r="K60" s="27" t="inlineStr">
        <is>
          <t>«Отмена», крестик, клик по фону</t>
        </is>
      </c>
    </row>
    <row r="61" ht="23.85" customHeight="1" s="13">
      <c r="A61" s="27" t="inlineStr">
        <is>
          <t>L-119</t>
        </is>
      </c>
      <c r="B61" s="27" t="inlineStr">
        <is>
          <t>A</t>
        </is>
      </c>
      <c r="C61" s="27" t="inlineStr">
        <is>
          <t>A-02</t>
        </is>
      </c>
      <c r="D61" s="29">
        <f>IFERROR(INDEX(Реестр!$C:$C,MATCH(C61,Реестр!$A:$A,0)),"⚠ нет в реестре")</f>
        <v/>
      </c>
      <c r="E61" s="27" t="inlineStr">
        <is>
          <t>Выбор занятого слота (демо)</t>
        </is>
      </c>
      <c r="F61" s="27" t="inlineStr">
        <is>
          <t>Переход</t>
        </is>
      </c>
      <c r="G61" s="27" t="inlineStr">
        <is>
          <t>A-02s</t>
        </is>
      </c>
      <c r="H61" s="29">
        <f>IF(G61="ANCHOR","Прокрутка к секции",IF(G61="EXT","Внешняя ссылка",IF(G61="PARENT","Вернуться туда, откуда открыто",IFERROR(INDEX(Реестр!$C:$C,MATCH(G61,Реестр!$A:$A,0)),"⚠ нет в реестре"))))</f>
        <v/>
      </c>
      <c r="I61" s="27" t="n"/>
      <c r="J61" s="28" t="inlineStr">
        <is>
          <t>Связано</t>
        </is>
      </c>
      <c r="K61" s="27" t="inlineStr">
        <is>
          <t>Плашка конфликта при создании на занятое время</t>
        </is>
      </c>
    </row>
    <row r="62" ht="15" customHeight="1" s="13">
      <c r="A62" s="27" t="inlineStr">
        <is>
          <t>L-120</t>
        </is>
      </c>
      <c r="B62" s="27" t="inlineStr">
        <is>
          <t>A</t>
        </is>
      </c>
      <c r="C62" s="27" t="inlineStr">
        <is>
          <t>A-02s</t>
        </is>
      </c>
      <c r="D62" s="29">
        <f>IFERROR(INDEX(Реестр!$C:$C,MATCH(C62,Реестр!$A:$A,0)),"⚠ нет в реестре")</f>
        <v/>
      </c>
      <c r="E62" s="27" t="inlineStr">
        <is>
          <t>Чипс альтернативного слота</t>
        </is>
      </c>
      <c r="F62" s="27" t="inlineStr">
        <is>
          <t>Переход</t>
        </is>
      </c>
      <c r="G62" s="27" t="inlineStr">
        <is>
          <t>A-02</t>
        </is>
      </c>
      <c r="H62" s="29">
        <f>IF(G62="ANCHOR","Прокрутка к секции",IF(G62="EXT","Внешняя ссылка",IF(G62="PARENT","Вернуться туда, откуда открыто",IFERROR(INDEX(Реестр!$C:$C,MATCH(G62,Реестр!$A:$A,0)),"⚠ нет в реестре"))))</f>
        <v/>
      </c>
      <c r="I62" s="27" t="n"/>
      <c r="J62" s="28" t="inlineStr">
        <is>
          <t>Связано</t>
        </is>
      </c>
      <c r="K62" s="27" t="n"/>
    </row>
    <row r="63" ht="15" customHeight="1" s="13">
      <c r="A63" s="27" t="inlineStr">
        <is>
          <t>L-121</t>
        </is>
      </c>
      <c r="B63" s="27" t="inlineStr">
        <is>
          <t>A</t>
        </is>
      </c>
      <c r="C63" s="27" t="inlineStr">
        <is>
          <t>A-03</t>
        </is>
      </c>
      <c r="D63" s="29">
        <f>IFERROR(INDEX(Реестр!$C:$C,MATCH(C63,Реестр!$A:$A,0)),"⚠ нет в реестре")</f>
        <v/>
      </c>
      <c r="E63" s="27" t="inlineStr">
        <is>
          <t>Кнопка «Подтвердить»</t>
        </is>
      </c>
      <c r="F63" s="27" t="inlineStr">
        <is>
          <t>Закрыть оверлей</t>
        </is>
      </c>
      <c r="G63" s="27" t="inlineStr">
        <is>
          <t>A-01</t>
        </is>
      </c>
      <c r="H63" s="29">
        <f>IF(G63="ANCHOR","Прокрутка к секции",IF(G63="EXT","Внешняя ссылка",IF(G63="PARENT","Вернуться туда, откуда открыто",IFERROR(INDEX(Реестр!$C:$C,MATCH(G63,Реестр!$A:$A,0)),"⚠ нет в реестре"))))</f>
        <v/>
      </c>
      <c r="I63" s="27" t="inlineStr">
        <is>
          <t>25.09.2026: в схеме БД нет статуса подтверждения — запись сразу «Активна»</t>
        </is>
      </c>
      <c r="J63" s="28" t="inlineStr">
        <is>
          <t>Не нужно</t>
        </is>
      </c>
      <c r="K63" s="27" t="inlineStr">
        <is>
          <t>Подтверждения записи нет (записи сразу «Активна»). Вместо него «Визит завершён» — см. L-225</t>
        </is>
      </c>
    </row>
    <row r="64" ht="15" customHeight="1" s="13">
      <c r="A64" s="27" t="inlineStr">
        <is>
          <t>L-122</t>
        </is>
      </c>
      <c r="B64" s="27" t="inlineStr">
        <is>
          <t>A</t>
        </is>
      </c>
      <c r="C64" s="27" t="inlineStr">
        <is>
          <t>A-03</t>
        </is>
      </c>
      <c r="D64" s="29">
        <f>IFERROR(INDEX(Реестр!$C:$C,MATCH(C64,Реестр!$A:$A,0)),"⚠ нет в реестре")</f>
        <v/>
      </c>
      <c r="E64" s="27" t="inlineStr">
        <is>
          <t>Кнопка «Перенести»</t>
        </is>
      </c>
      <c r="F64" s="27" t="inlineStr">
        <is>
          <t>Модалка</t>
        </is>
      </c>
      <c r="G64" s="27" t="inlineStr">
        <is>
          <t>A-04</t>
        </is>
      </c>
      <c r="H64" s="29">
        <f>IF(G64="ANCHOR","Прокрутка к секции",IF(G64="EXT","Внешняя ссылка",IF(G64="PARENT","Вернуться туда, откуда открыто",IFERROR(INDEX(Реестр!$C:$C,MATCH(G64,Реестр!$A:$A,0)),"⚠ нет в реестре"))))</f>
        <v/>
      </c>
      <c r="I64" s="27" t="n"/>
      <c r="J64" s="28" t="inlineStr">
        <is>
          <t>Связано</t>
        </is>
      </c>
      <c r="K64" s="27" t="n"/>
    </row>
    <row r="65" ht="15" customHeight="1" s="13">
      <c r="A65" s="27" t="inlineStr">
        <is>
          <t>L-123</t>
        </is>
      </c>
      <c r="B65" s="27" t="inlineStr">
        <is>
          <t>A</t>
        </is>
      </c>
      <c r="C65" s="27" t="inlineStr">
        <is>
          <t>A-03</t>
        </is>
      </c>
      <c r="D65" s="29">
        <f>IFERROR(INDEX(Реестр!$C:$C,MATCH(C65,Реестр!$A:$A,0)),"⚠ нет в реестре")</f>
        <v/>
      </c>
      <c r="E65" s="27" t="inlineStr">
        <is>
          <t>Кнопка «Отменить»</t>
        </is>
      </c>
      <c r="F65" s="27" t="inlineStr">
        <is>
          <t>Модалка</t>
        </is>
      </c>
      <c r="G65" s="27" t="inlineStr">
        <is>
          <t>A-05</t>
        </is>
      </c>
      <c r="H65" s="29">
        <f>IF(G65="ANCHOR","Прокрутка к секции",IF(G65="EXT","Внешняя ссылка",IF(G65="PARENT","Вернуться туда, откуда открыто",IFERROR(INDEX(Реестр!$C:$C,MATCH(G65,Реестр!$A:$A,0)),"⚠ нет в реестре"))))</f>
        <v/>
      </c>
      <c r="I65" s="27" t="n"/>
      <c r="J65" s="28" t="inlineStr">
        <is>
          <t>Связано</t>
        </is>
      </c>
      <c r="K65" s="27" t="n"/>
    </row>
    <row r="66" ht="15" customHeight="1" s="13">
      <c r="A66" s="27" t="inlineStr">
        <is>
          <t>L-124</t>
        </is>
      </c>
      <c r="B66" s="27" t="inlineStr">
        <is>
          <t>A</t>
        </is>
      </c>
      <c r="C66" s="27" t="inlineStr">
        <is>
          <t>A-03</t>
        </is>
      </c>
      <c r="D66" s="29">
        <f>IFERROR(INDEX(Реестр!$C:$C,MATCH(C66,Реестр!$A:$A,0)),"⚠ нет в реестре")</f>
        <v/>
      </c>
      <c r="E66" s="27" t="inlineStr">
        <is>
          <t>Кнопка «Неявка»</t>
        </is>
      </c>
      <c r="F66" s="27" t="inlineStr">
        <is>
          <t>Модалка</t>
        </is>
      </c>
      <c r="G66" s="27" t="inlineStr">
        <is>
          <t>A-06</t>
        </is>
      </c>
      <c r="H66" s="29">
        <f>IF(G66="ANCHOR","Прокрутка к секции",IF(G66="EXT","Внешняя ссылка",IF(G66="PARENT","Вернуться туда, откуда открыто",IFERROR(INDEX(Реестр!$C:$C,MATCH(G66,Реестр!$A:$A,0)),"⚠ нет в реестре"))))</f>
        <v/>
      </c>
      <c r="I66" s="27" t="inlineStr">
        <is>
          <t>Если пункта нет в поповере — «Нет элемента»</t>
        </is>
      </c>
      <c r="J66" s="28" t="inlineStr">
        <is>
          <t>Связано</t>
        </is>
      </c>
      <c r="K66" s="27" t="inlineStr">
        <is>
          <t>«Отметить неявку»</t>
        </is>
      </c>
    </row>
    <row r="67" ht="46.25" customHeight="1" s="13">
      <c r="A67" s="27" t="inlineStr">
        <is>
          <t>L-126</t>
        </is>
      </c>
      <c r="B67" s="27" t="inlineStr">
        <is>
          <t>A</t>
        </is>
      </c>
      <c r="C67" s="27" t="inlineStr">
        <is>
          <t>A-03</t>
        </is>
      </c>
      <c r="D67" s="29">
        <f>IFERROR(INDEX(Реестр!$C:$C,MATCH(C67,Реестр!$A:$A,0)),"⚠ нет в реестре")</f>
        <v/>
      </c>
      <c r="E67" s="27" t="inlineStr">
        <is>
          <t>Кнопка «Открыть карточку клиента»</t>
        </is>
      </c>
      <c r="F67" s="27" t="inlineStr">
        <is>
          <t>Переход</t>
        </is>
      </c>
      <c r="G67" s="27" t="inlineStr">
        <is>
          <t>A-09</t>
        </is>
      </c>
      <c r="H67" s="29">
        <f>IF(G67="ANCHOR","Прокрутка к секции",IF(G67="EXT","Внешняя ссылка",IF(G67="PARENT","Вернуться туда, откуда открыто",IFERROR(INDEX(Реестр!$C:$C,MATCH(G67,Реестр!$A:$A,0)),"⚠ нет в реестре"))))</f>
        <v/>
      </c>
      <c r="I67" s="27" t="n"/>
      <c r="J67" s="28" t="inlineStr">
        <is>
          <t>Связано</t>
        </is>
      </c>
      <c r="K67" s="27" t="n"/>
    </row>
    <row r="68" ht="15" customHeight="1" s="13">
      <c r="A68" s="27" t="inlineStr">
        <is>
          <t>L-127</t>
        </is>
      </c>
      <c r="B68" s="27" t="inlineStr">
        <is>
          <t>A</t>
        </is>
      </c>
      <c r="C68" s="27" t="inlineStr">
        <is>
          <t>A-03</t>
        </is>
      </c>
      <c r="D68" s="29">
        <f>IFERROR(INDEX(Реестр!$C:$C,MATCH(C68,Реестр!$A:$A,0)),"⚠ нет в реестре")</f>
        <v/>
      </c>
      <c r="E68" s="27" t="inlineStr">
        <is>
          <t>Клик вне поповера / крестик</t>
        </is>
      </c>
      <c r="F68" s="27" t="inlineStr">
        <is>
          <t>Закрыть оверлей</t>
        </is>
      </c>
      <c r="G68" s="27" t="inlineStr">
        <is>
          <t>A-01</t>
        </is>
      </c>
      <c r="H68" s="29">
        <f>IF(G68="ANCHOR","Прокрутка к секции",IF(G68="EXT","Внешняя ссылка",IF(G68="PARENT","Вернуться туда, откуда открыто",IFERROR(INDEX(Реестр!$C:$C,MATCH(G68,Реестр!$A:$A,0)),"⚠ нет в реестре"))))</f>
        <v/>
      </c>
      <c r="I68" s="27" t="n"/>
      <c r="J68" s="28" t="inlineStr">
        <is>
          <t>Связано</t>
        </is>
      </c>
      <c r="K68" s="27" t="n"/>
    </row>
    <row r="69" ht="23.85" customHeight="1" s="13">
      <c r="A69" s="27" t="inlineStr">
        <is>
          <t>L-128</t>
        </is>
      </c>
      <c r="B69" s="27" t="inlineStr">
        <is>
          <t>A</t>
        </is>
      </c>
      <c r="C69" s="27" t="inlineStr">
        <is>
          <t>A-04</t>
        </is>
      </c>
      <c r="D69" s="29">
        <f>IFERROR(INDEX(Реестр!$C:$C,MATCH(C69,Реестр!$A:$A,0)),"⚠ нет в реестре")</f>
        <v/>
      </c>
      <c r="E69" s="27" t="inlineStr">
        <is>
          <t>Кнопка «Перенести»</t>
        </is>
      </c>
      <c r="F69" s="27" t="inlineStr">
        <is>
          <t>Закрыть оверлей</t>
        </is>
      </c>
      <c r="G69" s="27" t="inlineStr">
        <is>
          <t>A-01</t>
        </is>
      </c>
      <c r="H69" s="29">
        <f>IF(G69="ANCHOR","Прокрутка к секции",IF(G69="EXT","Внешняя ссылка",IF(G69="PARENT","Вернуться туда, откуда открыто",IFERROR(INDEX(Реестр!$C:$C,MATCH(G69,Реестр!$A:$A,0)),"⚠ нет в реестре"))))</f>
        <v/>
      </c>
      <c r="I69" s="27" t="n"/>
      <c r="J69" s="28" t="inlineStr">
        <is>
          <t>Связано</t>
        </is>
      </c>
      <c r="K69" s="27" t="inlineStr">
        <is>
          <t>«Перенести запись»</t>
        </is>
      </c>
    </row>
    <row r="70" ht="23.85" customHeight="1" s="13">
      <c r="A70" s="27" t="inlineStr">
        <is>
          <t>L-129</t>
        </is>
      </c>
      <c r="B70" s="27" t="inlineStr">
        <is>
          <t>A</t>
        </is>
      </c>
      <c r="C70" s="27" t="inlineStr">
        <is>
          <t>A-04</t>
        </is>
      </c>
      <c r="D70" s="29">
        <f>IFERROR(INDEX(Реестр!$C:$C,MATCH(C70,Реестр!$A:$A,0)),"⚠ нет в реестре")</f>
        <v/>
      </c>
      <c r="E70" s="27" t="inlineStr">
        <is>
          <t>Кнопка «Отмена»</t>
        </is>
      </c>
      <c r="F70" s="27" t="inlineStr">
        <is>
          <t>Закрыть оверлей</t>
        </is>
      </c>
      <c r="G70" s="27" t="inlineStr">
        <is>
          <t>A-03</t>
        </is>
      </c>
      <c r="H70" s="29">
        <f>IF(G70="ANCHOR","Прокрутка к секции",IF(G70="EXT","Внешняя ссылка",IF(G70="PARENT","Вернуться туда, откуда открыто",IFERROR(INDEX(Реестр!$C:$C,MATCH(G70,Реестр!$A:$A,0)),"⚠ нет в реестре"))))</f>
        <v/>
      </c>
      <c r="I70" s="27" t="n"/>
      <c r="J70" s="28" t="inlineStr">
        <is>
          <t>Связано</t>
        </is>
      </c>
      <c r="K70" s="27" t="inlineStr">
        <is>
          <t>Возврат в поповер, если диалог открыт из него</t>
        </is>
      </c>
    </row>
    <row r="71" ht="15" customHeight="1" s="13">
      <c r="A71" s="27" t="inlineStr">
        <is>
          <t>L-131</t>
        </is>
      </c>
      <c r="B71" s="27" t="inlineStr">
        <is>
          <t>A</t>
        </is>
      </c>
      <c r="C71" s="27" t="inlineStr">
        <is>
          <t>A-05</t>
        </is>
      </c>
      <c r="D71" s="29">
        <f>IFERROR(INDEX(Реестр!$C:$C,MATCH(C71,Реестр!$A:$A,0)),"⚠ нет в реестре")</f>
        <v/>
      </c>
      <c r="E71" s="27" t="inlineStr">
        <is>
          <t>Кнопка «Не отменять»</t>
        </is>
      </c>
      <c r="F71" s="27" t="inlineStr">
        <is>
          <t>Закрыть оверлей</t>
        </is>
      </c>
      <c r="G71" s="27" t="inlineStr">
        <is>
          <t>A-03</t>
        </is>
      </c>
      <c r="H71" s="29">
        <f>IF(G71="ANCHOR","Прокрутка к секции",IF(G71="EXT","Внешняя ссылка",IF(G71="PARENT","Вернуться туда, откуда открыто",IFERROR(INDEX(Реестр!$C:$C,MATCH(G71,Реестр!$A:$A,0)),"⚠ нет в реестре"))))</f>
        <v/>
      </c>
      <c r="I71" s="27" t="n"/>
      <c r="J71" s="28" t="inlineStr">
        <is>
          <t>Связано</t>
        </is>
      </c>
      <c r="K71" s="27" t="inlineStr">
        <is>
          <t>Кнопка называется «Отмена»</t>
        </is>
      </c>
    </row>
    <row r="72" ht="15" customHeight="1" s="13">
      <c r="A72" s="27" t="inlineStr">
        <is>
          <t>L-132</t>
        </is>
      </c>
      <c r="B72" s="27" t="inlineStr">
        <is>
          <t>A</t>
        </is>
      </c>
      <c r="C72" s="27" t="inlineStr">
        <is>
          <t>A-06</t>
        </is>
      </c>
      <c r="D72" s="29">
        <f>IFERROR(INDEX(Реестр!$C:$C,MATCH(C72,Реестр!$A:$A,0)),"⚠ нет в реестре")</f>
        <v/>
      </c>
      <c r="E72" s="27" t="inlineStr">
        <is>
          <t>Кнопка «Зафиксировать неявку»</t>
        </is>
      </c>
      <c r="F72" s="27" t="inlineStr">
        <is>
          <t>Закрыть оверлей</t>
        </is>
      </c>
      <c r="G72" s="27" t="inlineStr">
        <is>
          <t>A-01</t>
        </is>
      </c>
      <c r="H72" s="29">
        <f>IF(G72="ANCHOR","Прокрутка к секции",IF(G72="EXT","Внешняя ссылка",IF(G72="PARENT","Вернуться туда, откуда открыто",IFERROR(INDEX(Реестр!$C:$C,MATCH(G72,Реестр!$A:$A,0)),"⚠ нет в реестре"))))</f>
        <v/>
      </c>
      <c r="I72" s="27" t="n"/>
      <c r="J72" s="28" t="inlineStr">
        <is>
          <t>Связано</t>
        </is>
      </c>
      <c r="K72" s="27" t="n"/>
    </row>
    <row r="73" ht="15" customHeight="1" s="13">
      <c r="A73" s="27" t="inlineStr">
        <is>
          <t>L-133</t>
        </is>
      </c>
      <c r="B73" s="27" t="inlineStr">
        <is>
          <t>A</t>
        </is>
      </c>
      <c r="C73" s="27" t="inlineStr">
        <is>
          <t>A-06</t>
        </is>
      </c>
      <c r="D73" s="29">
        <f>IFERROR(INDEX(Реестр!$C:$C,MATCH(C73,Реестр!$A:$A,0)),"⚠ нет в реестре")</f>
        <v/>
      </c>
      <c r="E73" s="27" t="inlineStr">
        <is>
          <t>Кнопка «Отмена»</t>
        </is>
      </c>
      <c r="F73" s="27" t="inlineStr">
        <is>
          <t>Закрыть оверлей</t>
        </is>
      </c>
      <c r="G73" s="27" t="inlineStr">
        <is>
          <t>A-03</t>
        </is>
      </c>
      <c r="H73" s="29">
        <f>IF(G73="ANCHOR","Прокрутка к секции",IF(G73="EXT","Внешняя ссылка",IF(G73="PARENT","Вернуться туда, откуда открыто",IFERROR(INDEX(Реестр!$C:$C,MATCH(G73,Реестр!$A:$A,0)),"⚠ нет в реестре"))))</f>
        <v/>
      </c>
      <c r="I73" s="27" t="n"/>
      <c r="J73" s="28" t="inlineStr">
        <is>
          <t>Связано</t>
        </is>
      </c>
      <c r="K73" s="27" t="n"/>
    </row>
    <row r="74" ht="23.85" customHeight="1" s="13">
      <c r="A74" s="27" t="inlineStr">
        <is>
          <t>L-134</t>
        </is>
      </c>
      <c r="B74" s="27" t="inlineStr">
        <is>
          <t>A</t>
        </is>
      </c>
      <c r="C74" s="27" t="inlineStr">
        <is>
          <t>A-07</t>
        </is>
      </c>
      <c r="D74" s="29">
        <f>IFERROR(INDEX(Реестр!$C:$C,MATCH(C74,Реестр!$A:$A,0)),"⚠ нет в реестре")</f>
        <v/>
      </c>
      <c r="E74" s="27" t="inlineStr">
        <is>
          <t>Строка клиента</t>
        </is>
      </c>
      <c r="F74" s="27" t="inlineStr">
        <is>
          <t>Панель</t>
        </is>
      </c>
      <c r="G74" s="27" t="inlineStr">
        <is>
          <t>A-08</t>
        </is>
      </c>
      <c r="H74" s="29">
        <f>IF(G74="ANCHOR","Прокрутка к секции",IF(G74="EXT","Внешняя ссылка",IF(G74="PARENT","Вернуться туда, откуда открыто",IFERROR(INDEX(Реестр!$C:$C,MATCH(G74,Реестр!$A:$A,0)),"⚠ нет в реестре"))))</f>
        <v/>
      </c>
      <c r="I74" s="27" t="n"/>
      <c r="J74" s="28" t="inlineStr">
        <is>
          <t>Связано</t>
        </is>
      </c>
      <c r="K74" s="27" t="n"/>
    </row>
    <row r="75" ht="23.85" customHeight="1" s="13">
      <c r="A75" s="27" t="inlineStr">
        <is>
          <t>L-138</t>
        </is>
      </c>
      <c r="B75" s="27" t="inlineStr">
        <is>
          <t>A</t>
        </is>
      </c>
      <c r="C75" s="27" t="inlineStr">
        <is>
          <t>A-08</t>
        </is>
      </c>
      <c r="D75" s="29">
        <f>IFERROR(INDEX(Реестр!$C:$C,MATCH(C75,Реестр!$A:$A,0)),"⚠ нет в реестре")</f>
        <v/>
      </c>
      <c r="E75" s="27" t="inlineStr">
        <is>
          <t>Кнопка «Записать»</t>
        </is>
      </c>
      <c r="F75" s="27" t="inlineStr">
        <is>
          <t>Панель</t>
        </is>
      </c>
      <c r="G75" s="27" t="inlineStr">
        <is>
          <t>A-02</t>
        </is>
      </c>
      <c r="H75" s="29">
        <f>IF(G75="ANCHOR","Прокрутка к секции",IF(G75="EXT","Внешняя ссылка",IF(G75="PARENT","Вернуться туда, откуда открыто",IFERROR(INDEX(Реестр!$C:$C,MATCH(G75,Реестр!$A:$A,0)),"⚠ нет в реестре"))))</f>
        <v/>
      </c>
      <c r="I75" s="27" t="n"/>
      <c r="J75" s="28" t="inlineStr">
        <is>
          <t>Связано</t>
        </is>
      </c>
      <c r="K75" s="27" t="inlineStr">
        <is>
          <t>Клиент в панели не подставляется</t>
        </is>
      </c>
    </row>
    <row r="76" ht="23.85" customHeight="1" s="13">
      <c r="A76" s="27" t="inlineStr">
        <is>
          <t>L-139</t>
        </is>
      </c>
      <c r="B76" s="27" t="inlineStr">
        <is>
          <t>A</t>
        </is>
      </c>
      <c r="C76" s="27" t="inlineStr">
        <is>
          <t>A-08</t>
        </is>
      </c>
      <c r="D76" s="29">
        <f>IFERROR(INDEX(Реестр!$C:$C,MATCH(C76,Реестр!$A:$A,0)),"⚠ нет в реестре")</f>
        <v/>
      </c>
      <c r="E76" s="27" t="inlineStr">
        <is>
          <t>Кнопка «Открыть карточку»</t>
        </is>
      </c>
      <c r="F76" s="27" t="inlineStr">
        <is>
          <t>Переход</t>
        </is>
      </c>
      <c r="G76" s="27" t="inlineStr">
        <is>
          <t>A-09</t>
        </is>
      </c>
      <c r="H76" s="29">
        <f>IF(G76="ANCHOR","Прокрутка к секции",IF(G76="EXT","Внешняя ссылка",IF(G76="PARENT","Вернуться туда, откуда открыто",IFERROR(INDEX(Реестр!$C:$C,MATCH(G76,Реестр!$A:$A,0)),"⚠ нет в реестре"))))</f>
        <v/>
      </c>
      <c r="I76" s="27" t="n"/>
      <c r="J76" s="28" t="inlineStr">
        <is>
          <t>Связано</t>
        </is>
      </c>
      <c r="K76" s="27" t="n"/>
    </row>
    <row r="77" ht="23.85" customHeight="1" s="13">
      <c r="A77" s="27" t="inlineStr">
        <is>
          <t>L-140</t>
        </is>
      </c>
      <c r="B77" s="27" t="inlineStr">
        <is>
          <t>A</t>
        </is>
      </c>
      <c r="C77" s="27" t="inlineStr">
        <is>
          <t>A-08</t>
        </is>
      </c>
      <c r="D77" s="29">
        <f>IFERROR(INDEX(Реестр!$C:$C,MATCH(C77,Реестр!$A:$A,0)),"⚠ нет в реестре")</f>
        <v/>
      </c>
      <c r="E77" s="27" t="inlineStr">
        <is>
          <t>Кнопка «Позвонить»</t>
        </is>
      </c>
      <c r="F77" s="27" t="inlineStr">
        <is>
          <t>Внешняя ссылка</t>
        </is>
      </c>
      <c r="G77" s="27" t="inlineStr">
        <is>
          <t>EXT</t>
        </is>
      </c>
      <c r="H77" s="29">
        <f>IF(G77="ANCHOR","Прокрутка к секции",IF(G77="EXT","Внешняя ссылка",IF(G77="PARENT","Вернуться туда, откуда открыто",IFERROR(INDEX(Реестр!$C:$C,MATCH(G77,Реестр!$A:$A,0)),"⚠ нет в реестре"))))</f>
        <v/>
      </c>
      <c r="I77" s="27" t="n"/>
      <c r="J77" s="28" t="inlineStr">
        <is>
          <t>Связано</t>
        </is>
      </c>
      <c r="K77" s="27" t="n"/>
    </row>
    <row r="78" ht="15" customHeight="1" s="13">
      <c r="A78" s="27" t="inlineStr">
        <is>
          <t>L-141</t>
        </is>
      </c>
      <c r="B78" s="27" t="inlineStr">
        <is>
          <t>A</t>
        </is>
      </c>
      <c r="C78" s="27" t="inlineStr">
        <is>
          <t>A-08</t>
        </is>
      </c>
      <c r="D78" s="29">
        <f>IFERROR(INDEX(Реестр!$C:$C,MATCH(C78,Реестр!$A:$A,0)),"⚠ нет в реестре")</f>
        <v/>
      </c>
      <c r="E78" s="27" t="inlineStr">
        <is>
          <t>Крестик</t>
        </is>
      </c>
      <c r="F78" s="27" t="inlineStr">
        <is>
          <t>Закрыть оверлей</t>
        </is>
      </c>
      <c r="G78" s="27" t="inlineStr">
        <is>
          <t>A-07</t>
        </is>
      </c>
      <c r="H78" s="29">
        <f>IF(G78="ANCHOR","Прокрутка к секции",IF(G78="EXT","Внешняя ссылка",IF(G78="PARENT","Вернуться туда, откуда открыто",IFERROR(INDEX(Реестр!$C:$C,MATCH(G78,Реестр!$A:$A,0)),"⚠ нет в реестре"))))</f>
        <v/>
      </c>
      <c r="I78" s="27" t="n"/>
      <c r="J78" s="28" t="inlineStr">
        <is>
          <t>Связано</t>
        </is>
      </c>
      <c r="K78" s="27" t="n"/>
    </row>
    <row r="79" ht="15" customHeight="1" s="13">
      <c r="A79" s="27" t="inlineStr">
        <is>
          <t>L-142</t>
        </is>
      </c>
      <c r="B79" s="27" t="inlineStr">
        <is>
          <t>A</t>
        </is>
      </c>
      <c r="C79" s="27" t="inlineStr">
        <is>
          <t>A-09</t>
        </is>
      </c>
      <c r="D79" s="29">
        <f>IFERROR(INDEX(Реестр!$C:$C,MATCH(C79,Реестр!$A:$A,0)),"⚠ нет в реестре")</f>
        <v/>
      </c>
      <c r="E79" s="27" t="inlineStr">
        <is>
          <t>Кнопка «Записать»</t>
        </is>
      </c>
      <c r="F79" s="27" t="inlineStr">
        <is>
          <t>Панель</t>
        </is>
      </c>
      <c r="G79" s="27" t="inlineStr">
        <is>
          <t>A-02</t>
        </is>
      </c>
      <c r="H79" s="29">
        <f>IF(G79="ANCHOR","Прокрутка к секции",IF(G79="EXT","Внешняя ссылка",IF(G79="PARENT","Вернуться туда, откуда открыто",IFERROR(INDEX(Реестр!$C:$C,MATCH(G79,Реестр!$A:$A,0)),"⚠ нет в реестре"))))</f>
        <v/>
      </c>
      <c r="I79" s="27" t="n"/>
      <c r="J79" s="28" t="inlineStr">
        <is>
          <t>Связано</t>
        </is>
      </c>
      <c r="K79" s="27" t="inlineStr">
        <is>
          <t>Клиент в панели не подставляется</t>
        </is>
      </c>
    </row>
    <row r="80" ht="15" customHeight="1" s="13">
      <c r="A80" s="27" t="inlineStr">
        <is>
          <t>L-145</t>
        </is>
      </c>
      <c r="B80" s="27" t="inlineStr">
        <is>
          <t>A</t>
        </is>
      </c>
      <c r="C80" s="27" t="inlineStr">
        <is>
          <t>A-09</t>
        </is>
      </c>
      <c r="D80" s="29">
        <f>IFERROR(INDEX(Реестр!$C:$C,MATCH(C80,Реестр!$A:$A,0)),"⚠ нет в реестре")</f>
        <v/>
      </c>
      <c r="E80" s="27" t="inlineStr">
        <is>
          <t>Кнопка «В чёрный список»</t>
        </is>
      </c>
      <c r="F80" s="27" t="inlineStr">
        <is>
          <t>Модалка</t>
        </is>
      </c>
      <c r="G80" s="27" t="inlineStr">
        <is>
          <t>A-11</t>
        </is>
      </c>
      <c r="H80" s="29">
        <f>IF(G80="ANCHOR","Прокрутка к секции",IF(G80="EXT","Внешняя ссылка",IF(G80="PARENT","Вернуться туда, откуда открыто",IFERROR(INDEX(Реестр!$C:$C,MATCH(G80,Реестр!$A:$A,0)),"⚠ нет в реестре"))))</f>
        <v/>
      </c>
      <c r="I80" s="27" t="n"/>
      <c r="J80" s="28" t="inlineStr">
        <is>
          <t>Связано</t>
        </is>
      </c>
      <c r="K80" s="27" t="inlineStr">
        <is>
          <t>Кнопка не показывалась у клиентов вне чёрного списка (неверное условие). Исправлено 25.09.2026</t>
        </is>
      </c>
    </row>
    <row r="81" ht="15" customHeight="1" s="13">
      <c r="A81" s="27" t="inlineStr">
        <is>
          <t>L-146</t>
        </is>
      </c>
      <c r="B81" s="27" t="inlineStr">
        <is>
          <t>A</t>
        </is>
      </c>
      <c r="C81" s="27" t="inlineStr">
        <is>
          <t>A-09</t>
        </is>
      </c>
      <c r="D81" s="29">
        <f>IFERROR(INDEX(Реестр!$C:$C,MATCH(C81,Реестр!$A:$A,0)),"⚠ нет в реестре")</f>
        <v/>
      </c>
      <c r="E81" s="27" t="inlineStr">
        <is>
          <t>Запись во вкладке «Предстоящие»</t>
        </is>
      </c>
      <c r="F81" s="27" t="inlineStr">
        <is>
          <t>Поповер</t>
        </is>
      </c>
      <c r="G81" s="27" t="inlineStr">
        <is>
          <t>A-03</t>
        </is>
      </c>
      <c r="H81" s="29">
        <f>IF(G81="ANCHOR","Прокрутка к секции",IF(G81="EXT","Внешняя ссылка",IF(G81="PARENT","Вернуться туда, откуда открыто",IFERROR(INDEX(Реестр!$C:$C,MATCH(G81,Реестр!$A:$A,0)),"⚠ нет в реестре"))))</f>
        <v/>
      </c>
      <c r="I81" s="27" t="inlineStr">
        <is>
          <t>25.09.2026: данные есть: предстоящие записи клиента (bookings). Нужно открыть поповер по клику в прототипе</t>
        </is>
      </c>
      <c r="J81" s="28" t="inlineStr">
        <is>
          <t>Связано</t>
        </is>
      </c>
      <c r="K81" s="27" t="inlineStr">
        <is>
          <t>Строка во вкладке «Предстоящие» открывает поповер записи; список считается из записей клиента (в демо — запись Ольги Петровой на 6 октября). Сделано 25.09.2026</t>
        </is>
      </c>
    </row>
    <row r="82" ht="15" customHeight="1" s="13">
      <c r="A82" s="27" t="inlineStr">
        <is>
          <t>L-147</t>
        </is>
      </c>
      <c r="B82" s="27" t="inlineStr">
        <is>
          <t>A</t>
        </is>
      </c>
      <c r="C82" s="27" t="inlineStr">
        <is>
          <t>A-09</t>
        </is>
      </c>
      <c r="D82" s="29">
        <f>IFERROR(INDEX(Реестр!$C:$C,MATCH(C82,Реестр!$A:$A,0)),"⚠ нет в реестре")</f>
        <v/>
      </c>
      <c r="E82" s="27" t="inlineStr">
        <is>
          <t>«Назад к клиентам»</t>
        </is>
      </c>
      <c r="F82" s="27" t="inlineStr">
        <is>
          <t>Назад</t>
        </is>
      </c>
      <c r="G82" s="27" t="inlineStr">
        <is>
          <t>A-07</t>
        </is>
      </c>
      <c r="H82" s="29">
        <f>IF(G82="ANCHOR","Прокрутка к секции",IF(G82="EXT","Внешняя ссылка",IF(G82="PARENT","Вернуться туда, откуда открыто",IFERROR(INDEX(Реестр!$C:$C,MATCH(G82,Реестр!$A:$A,0)),"⚠ нет в реестре"))))</f>
        <v/>
      </c>
      <c r="I82" s="27" t="n"/>
      <c r="J82" s="28" t="inlineStr">
        <is>
          <t>Связано</t>
        </is>
      </c>
      <c r="K82" s="27" t="inlineStr">
        <is>
          <t>«← Клиенты»</t>
        </is>
      </c>
    </row>
    <row r="83" ht="15" customHeight="1" s="13">
      <c r="A83" s="27" t="inlineStr">
        <is>
          <t>L-150</t>
        </is>
      </c>
      <c r="B83" s="27" t="inlineStr">
        <is>
          <t>A</t>
        </is>
      </c>
      <c r="C83" s="27" t="inlineStr">
        <is>
          <t>A-11</t>
        </is>
      </c>
      <c r="D83" s="29">
        <f>IFERROR(INDEX(Реестр!$C:$C,MATCH(C83,Реестр!$A:$A,0)),"⚠ нет в реестре")</f>
        <v/>
      </c>
      <c r="E83" s="27" t="inlineStr">
        <is>
          <t>Кнопка «Подтвердить»</t>
        </is>
      </c>
      <c r="F83" s="27" t="inlineStr">
        <is>
          <t>Закрыть оверлей</t>
        </is>
      </c>
      <c r="G83" s="27" t="inlineStr">
        <is>
          <t>A-09</t>
        </is>
      </c>
      <c r="H83" s="29">
        <f>IF(G83="ANCHOR","Прокрутка к секции",IF(G83="EXT","Внешняя ссылка",IF(G83="PARENT","Вернуться туда, откуда открыто",IFERROR(INDEX(Реестр!$C:$C,MATCH(G83,Реестр!$A:$A,0)),"⚠ нет в реестре"))))</f>
        <v/>
      </c>
      <c r="I83" s="27" t="n"/>
      <c r="J83" s="28" t="inlineStr">
        <is>
          <t>Связано</t>
        </is>
      </c>
      <c r="K83" s="27" t="n"/>
    </row>
    <row r="84" ht="15" customHeight="1" s="13">
      <c r="A84" s="27" t="inlineStr">
        <is>
          <t>L-151</t>
        </is>
      </c>
      <c r="B84" s="27" t="inlineStr">
        <is>
          <t>A</t>
        </is>
      </c>
      <c r="C84" s="27" t="inlineStr">
        <is>
          <t>A-11</t>
        </is>
      </c>
      <c r="D84" s="29">
        <f>IFERROR(INDEX(Реестр!$C:$C,MATCH(C84,Реестр!$A:$A,0)),"⚠ нет в реестре")</f>
        <v/>
      </c>
      <c r="E84" s="27" t="inlineStr">
        <is>
          <t>Кнопка «Отмена»</t>
        </is>
      </c>
      <c r="F84" s="27" t="inlineStr">
        <is>
          <t>Закрыть оверлей</t>
        </is>
      </c>
      <c r="G84" s="27" t="inlineStr">
        <is>
          <t>A-09</t>
        </is>
      </c>
      <c r="H84" s="29">
        <f>IF(G84="ANCHOR","Прокрутка к секции",IF(G84="EXT","Внешняя ссылка",IF(G84="PARENT","Вернуться туда, откуда открыто",IFERROR(INDEX(Реестр!$C:$C,MATCH(G84,Реестр!$A:$A,0)),"⚠ нет в реестре"))))</f>
        <v/>
      </c>
      <c r="I84" s="27" t="n"/>
      <c r="J84" s="28" t="inlineStr">
        <is>
          <t>Связано</t>
        </is>
      </c>
      <c r="K84" s="27" t="n"/>
    </row>
    <row r="85" ht="15" customHeight="1" s="13">
      <c r="A85" s="27" t="inlineStr">
        <is>
          <t>L-169</t>
        </is>
      </c>
      <c r="B85" s="27" t="inlineStr">
        <is>
          <t>A</t>
        </is>
      </c>
      <c r="C85" s="27" t="inlineStr">
        <is>
          <t>A-19</t>
        </is>
      </c>
      <c r="D85" s="29">
        <f>IFERROR(INDEX(Реестр!$C:$C,MATCH(C85,Реестр!$A:$A,0)),"⚠ нет в реестре")</f>
        <v/>
      </c>
      <c r="E85" s="27" t="inlineStr">
        <is>
          <t>Строка мастера</t>
        </is>
      </c>
      <c r="F85" s="27" t="inlineStr">
        <is>
          <t>Переход</t>
        </is>
      </c>
      <c r="G85" s="27" t="inlineStr">
        <is>
          <t>A-22</t>
        </is>
      </c>
      <c r="H85" s="29">
        <f>IF(G85="ANCHOR","Прокрутка к секции",IF(G85="EXT","Внешняя ссылка",IF(G85="PARENT","Вернуться туда, откуда открыто",IFERROR(INDEX(Реестр!$C:$C,MATCH(G85,Реестр!$A:$A,0)),"⚠ нет в реестре"))))</f>
        <v/>
      </c>
      <c r="I85" s="27" t="n"/>
      <c r="J85" s="28" t="inlineStr">
        <is>
          <t>Связано</t>
        </is>
      </c>
      <c r="K85" s="27" t="n"/>
    </row>
    <row r="86" ht="15" customHeight="1" s="13">
      <c r="A86" s="27" t="inlineStr">
        <is>
          <t>L-170</t>
        </is>
      </c>
      <c r="B86" s="27" t="inlineStr">
        <is>
          <t>A</t>
        </is>
      </c>
      <c r="C86" s="27" t="inlineStr">
        <is>
          <t>A-19</t>
        </is>
      </c>
      <c r="D86" s="29">
        <f>IFERROR(INDEX(Реестр!$C:$C,MATCH(C86,Реестр!$A:$A,0)),"⚠ нет в реестре")</f>
        <v/>
      </c>
      <c r="E86" s="27" t="inlineStr">
        <is>
          <t>Вкладка «График смен»</t>
        </is>
      </c>
      <c r="F86" s="27" t="inlineStr">
        <is>
          <t>Переход</t>
        </is>
      </c>
      <c r="G86" s="27" t="inlineStr">
        <is>
          <t>A-20</t>
        </is>
      </c>
      <c r="H86" s="29">
        <f>IF(G86="ANCHOR","Прокрутка к секции",IF(G86="EXT","Внешняя ссылка",IF(G86="PARENT","Вернуться туда, откуда открыто",IFERROR(INDEX(Реестр!$C:$C,MATCH(G86,Реестр!$A:$A,0)),"⚠ нет в реестре"))))</f>
        <v/>
      </c>
      <c r="I86" s="27" t="n"/>
      <c r="J86" s="28" t="inlineStr">
        <is>
          <t>Связано</t>
        </is>
      </c>
      <c r="K86" s="27" t="inlineStr">
        <is>
          <t>Кнопка «График смен на месяц»</t>
        </is>
      </c>
    </row>
    <row r="87" ht="23.85" customHeight="1" s="13">
      <c r="A87" s="27" t="inlineStr">
        <is>
          <t>L-172</t>
        </is>
      </c>
      <c r="B87" s="27" t="inlineStr">
        <is>
          <t>A</t>
        </is>
      </c>
      <c r="C87" s="27" t="inlineStr">
        <is>
          <t>A-20</t>
        </is>
      </c>
      <c r="D87" s="29">
        <f>IFERROR(INDEX(Реестр!$C:$C,MATCH(C87,Реестр!$A:$A,0)),"⚠ нет в реестре")</f>
        <v/>
      </c>
      <c r="E87" s="27" t="inlineStr">
        <is>
          <t>Вкладка «Мастера»</t>
        </is>
      </c>
      <c r="F87" s="27" t="inlineStr">
        <is>
          <t>Переход</t>
        </is>
      </c>
      <c r="G87" s="27" t="inlineStr">
        <is>
          <t>A-19</t>
        </is>
      </c>
      <c r="H87" s="29">
        <f>IF(G87="ANCHOR","Прокрутка к секции",IF(G87="EXT","Внешняя ссылка",IF(G87="PARENT","Вернуться туда, откуда открыто",IFERROR(INDEX(Реестр!$C:$C,MATCH(G87,Реестр!$A:$A,0)),"⚠ нет в реестре"))))</f>
        <v/>
      </c>
      <c r="I87" s="27" t="n"/>
      <c r="J87" s="28" t="inlineStr">
        <is>
          <t>Связано</t>
        </is>
      </c>
      <c r="K87" s="27" t="inlineStr">
        <is>
          <t>«← Мастера»</t>
        </is>
      </c>
    </row>
    <row r="88" ht="15" customHeight="1" s="13">
      <c r="A88" s="27" t="inlineStr">
        <is>
          <t>L-176</t>
        </is>
      </c>
      <c r="B88" s="27" t="inlineStr">
        <is>
          <t>A</t>
        </is>
      </c>
      <c r="C88" s="27" t="inlineStr">
        <is>
          <t>A-22</t>
        </is>
      </c>
      <c r="D88" s="29">
        <f>IFERROR(INDEX(Реестр!$C:$C,MATCH(C88,Реестр!$A:$A,0)),"⚠ нет в реестре")</f>
        <v/>
      </c>
      <c r="E88" s="27" t="inlineStr">
        <is>
          <t>«Назад к мастерам»</t>
        </is>
      </c>
      <c r="F88" s="27" t="inlineStr">
        <is>
          <t>Назад</t>
        </is>
      </c>
      <c r="G88" s="27" t="inlineStr">
        <is>
          <t>A-19</t>
        </is>
      </c>
      <c r="H88" s="29">
        <f>IF(G88="ANCHOR","Прокрутка к секции",IF(G88="EXT","Внешняя ссылка",IF(G88="PARENT","Вернуться туда, откуда открыто",IFERROR(INDEX(Реестр!$C:$C,MATCH(G88,Реестр!$A:$A,0)),"⚠ нет в реестре"))))</f>
        <v/>
      </c>
      <c r="I88" s="27" t="n"/>
      <c r="J88" s="28" t="inlineStr">
        <is>
          <t>Связано</t>
        </is>
      </c>
      <c r="K88" s="27" t="inlineStr">
        <is>
          <t>«← Мастера»</t>
        </is>
      </c>
    </row>
    <row r="89" ht="15" customHeight="1" s="13">
      <c r="A89" s="27" t="inlineStr">
        <is>
          <t>L-177</t>
        </is>
      </c>
      <c r="B89" s="27" t="inlineStr">
        <is>
          <t>A</t>
        </is>
      </c>
      <c r="C89" s="27" t="inlineStr">
        <is>
          <t>A-22</t>
        </is>
      </c>
      <c r="D89" s="29">
        <f>IFERROR(INDEX(Реестр!$C:$C,MATCH(C89,Реестр!$A:$A,0)),"⚠ нет в реестре")</f>
        <v/>
      </c>
      <c r="E89" s="27" t="inlineStr">
        <is>
          <t>Блок «График»</t>
        </is>
      </c>
      <c r="F89" s="27" t="inlineStr">
        <is>
          <t>Переход</t>
        </is>
      </c>
      <c r="G89" s="27" t="inlineStr">
        <is>
          <t>A-20</t>
        </is>
      </c>
      <c r="H89" s="29">
        <f>IF(G89="ANCHOR","Прокрутка к секции",IF(G89="EXT","Внешняя ссылка",IF(G89="PARENT","Вернуться туда, откуда открыто",IFERROR(INDEX(Реестр!$C:$C,MATCH(G89,Реестр!$A:$A,0)),"⚠ нет в реестре"))))</f>
        <v/>
      </c>
      <c r="I89" s="27" t="n"/>
      <c r="J89" s="28" t="inlineStr">
        <is>
          <t>Нет элемента</t>
        </is>
      </c>
      <c r="K89" s="27" t="inlineStr">
        <is>
          <t>Блок «График работы» — текст</t>
        </is>
      </c>
    </row>
    <row r="90" ht="15" customHeight="1" s="13">
      <c r="A90" s="27" t="inlineStr">
        <is>
          <t>L-179</t>
        </is>
      </c>
      <c r="B90" s="27" t="inlineStr">
        <is>
          <t>A</t>
        </is>
      </c>
      <c r="C90" s="27" t="inlineStr">
        <is>
          <t>A-23</t>
        </is>
      </c>
      <c r="D90" s="29">
        <f>IFERROR(INDEX(Реестр!$C:$C,MATCH(C90,Реестр!$A:$A,0)),"⚠ нет в реестре")</f>
        <v/>
      </c>
      <c r="E90" s="27" t="inlineStr">
        <is>
          <t>Строка услуги</t>
        </is>
      </c>
      <c r="F90" s="27" t="inlineStr">
        <is>
          <t>Переход</t>
        </is>
      </c>
      <c r="G90" s="27" t="inlineStr">
        <is>
          <t>A-24</t>
        </is>
      </c>
      <c r="H90" s="29">
        <f>IF(G90="ANCHOR","Прокрутка к секции",IF(G90="EXT","Внешняя ссылка",IF(G90="PARENT","Вернуться туда, откуда открыто",IFERROR(INDEX(Реестр!$C:$C,MATCH(G90,Реестр!$A:$A,0)),"⚠ нет в реестре"))))</f>
        <v/>
      </c>
      <c r="I90" s="27" t="n"/>
      <c r="J90" s="28" t="inlineStr">
        <is>
          <t>Связано</t>
        </is>
      </c>
      <c r="K90" s="27" t="inlineStr">
        <is>
          <t>Исправлено 25.09.2026</t>
        </is>
      </c>
    </row>
    <row r="91" ht="23.85" customHeight="1" s="13">
      <c r="A91" s="27" t="inlineStr">
        <is>
          <t>L-180</t>
        </is>
      </c>
      <c r="B91" s="27" t="inlineStr">
        <is>
          <t>A</t>
        </is>
      </c>
      <c r="C91" s="27" t="inlineStr">
        <is>
          <t>A-23</t>
        </is>
      </c>
      <c r="D91" s="29">
        <f>IFERROR(INDEX(Реестр!$C:$C,MATCH(C91,Реестр!$A:$A,0)),"⚠ нет в реестре")</f>
        <v/>
      </c>
      <c r="E91" s="27" t="inlineStr">
        <is>
          <t>Кнопка «Добавить услугу»</t>
        </is>
      </c>
      <c r="F91" s="27" t="inlineStr">
        <is>
          <t>Переход</t>
        </is>
      </c>
      <c r="G91" s="27" t="inlineStr">
        <is>
          <t>A-24</t>
        </is>
      </c>
      <c r="H91" s="29">
        <f>IF(G91="ANCHOR","Прокрутка к секции",IF(G91="EXT","Внешняя ссылка",IF(G91="PARENT","Вернуться туда, откуда открыто",IFERROR(INDEX(Реестр!$C:$C,MATCH(G91,Реестр!$A:$A,0)),"⚠ нет в реестре"))))</f>
        <v/>
      </c>
      <c r="I91" s="27" t="n"/>
      <c r="J91" s="28" t="inlineStr">
        <is>
          <t>Связано</t>
        </is>
      </c>
      <c r="K91" s="27" t="inlineStr">
        <is>
          <t>Исправлено 25.09.2026</t>
        </is>
      </c>
    </row>
    <row r="92" ht="23.85" customHeight="1" s="13">
      <c r="A92" s="27" t="inlineStr">
        <is>
          <t>L-181</t>
        </is>
      </c>
      <c r="B92" s="27" t="inlineStr">
        <is>
          <t>A</t>
        </is>
      </c>
      <c r="C92" s="27" t="inlineStr">
        <is>
          <t>A-24</t>
        </is>
      </c>
      <c r="D92" s="29">
        <f>IFERROR(INDEX(Реестр!$C:$C,MATCH(C92,Реестр!$A:$A,0)),"⚠ нет в реестре")</f>
        <v/>
      </c>
      <c r="E92" s="27" t="inlineStr">
        <is>
          <t>Кнопка «Сохранить»</t>
        </is>
      </c>
      <c r="F92" s="27" t="inlineStr">
        <is>
          <t>Переход</t>
        </is>
      </c>
      <c r="G92" s="27" t="inlineStr">
        <is>
          <t>A-23</t>
        </is>
      </c>
      <c r="H92" s="29">
        <f>IF(G92="ANCHOR","Прокрутка к секции",IF(G92="EXT","Внешняя ссылка",IF(G92="PARENT","Вернуться туда, откуда открыто",IFERROR(INDEX(Реестр!$C:$C,MATCH(G92,Реестр!$A:$A,0)),"⚠ нет в реестре"))))</f>
        <v/>
      </c>
      <c r="I92" s="27" t="n"/>
      <c r="J92" s="28" t="inlineStr">
        <is>
          <t>Связано</t>
        </is>
      </c>
      <c r="K92" s="27" t="inlineStr">
        <is>
          <t>Сохраняет и возвращает к списку. Исправлено 25.09.2026</t>
        </is>
      </c>
    </row>
    <row r="93" ht="15" customHeight="1" s="13">
      <c r="A93" s="27" t="inlineStr">
        <is>
          <t>L-182</t>
        </is>
      </c>
      <c r="B93" s="27" t="inlineStr">
        <is>
          <t>A</t>
        </is>
      </c>
      <c r="C93" s="27" t="inlineStr">
        <is>
          <t>A-24</t>
        </is>
      </c>
      <c r="D93" s="29">
        <f>IFERROR(INDEX(Реестр!$C:$C,MATCH(C93,Реестр!$A:$A,0)),"⚠ нет в реестре")</f>
        <v/>
      </c>
      <c r="E93" s="27" t="inlineStr">
        <is>
          <t>Кнопка «Отмена»</t>
        </is>
      </c>
      <c r="F93" s="27" t="inlineStr">
        <is>
          <t>Назад</t>
        </is>
      </c>
      <c r="G93" s="27" t="inlineStr">
        <is>
          <t>A-23</t>
        </is>
      </c>
      <c r="H93" s="29">
        <f>IF(G93="ANCHOR","Прокрутка к секции",IF(G93="EXT","Внешняя ссылка",IF(G93="PARENT","Вернуться туда, откуда открыто",IFERROR(INDEX(Реестр!$C:$C,MATCH(G93,Реестр!$A:$A,0)),"⚠ нет в реестре"))))</f>
        <v/>
      </c>
      <c r="I93" s="27" t="n"/>
      <c r="J93" s="28" t="inlineStr">
        <is>
          <t>Связано</t>
        </is>
      </c>
      <c r="K93" s="27" t="inlineStr">
        <is>
          <t>«Отмена» и «← Услуги» возвращают к списку. Исправлено 25.09.2026</t>
        </is>
      </c>
    </row>
    <row r="94" ht="15" customHeight="1" s="13">
      <c r="A94" s="27" t="inlineStr">
        <is>
          <t>L-198</t>
        </is>
      </c>
      <c r="B94" s="27" t="inlineStr">
        <is>
          <t>A</t>
        </is>
      </c>
      <c r="C94" s="27" t="inlineStr">
        <is>
          <t>A-S1</t>
        </is>
      </c>
      <c r="D94" s="29">
        <f>IFERROR(INDEX(Реестр!$C:$C,MATCH(C94,Реестр!$A:$A,0)),"⚠ нет в реестре")</f>
        <v/>
      </c>
      <c r="E94" s="27" t="inlineStr">
        <is>
          <t>Кнопка «Обновить»</t>
        </is>
      </c>
      <c r="F94" s="27" t="inlineStr">
        <is>
          <t>Переход</t>
        </is>
      </c>
      <c r="G94" s="27" t="inlineStr">
        <is>
          <t>A-01</t>
        </is>
      </c>
      <c r="H94" s="29">
        <f>IF(G94="ANCHOR","Прокрутка к секции",IF(G94="EXT","Внешняя ссылка",IF(G94="PARENT","Вернуться туда, откуда открыто",IFERROR(INDEX(Реестр!$C:$C,MATCH(G94,Реестр!$A:$A,0)),"⚠ нет в реестре"))))</f>
        <v/>
      </c>
      <c r="I94" s="27" t="n"/>
      <c r="J94" s="28" t="inlineStr">
        <is>
          <t>Связано</t>
        </is>
      </c>
      <c r="K94" s="27" t="inlineStr">
        <is>
          <t>Карточка в галерее A-33</t>
        </is>
      </c>
    </row>
    <row r="95" ht="15" customHeight="1" s="13">
      <c r="A95" s="27" t="inlineStr">
        <is>
          <t>L-199</t>
        </is>
      </c>
      <c r="B95" s="27" t="inlineStr">
        <is>
          <t>A</t>
        </is>
      </c>
      <c r="C95" s="27" t="inlineStr">
        <is>
          <t>A-S2</t>
        </is>
      </c>
      <c r="D95" s="29">
        <f>IFERROR(INDEX(Реестр!$C:$C,MATCH(C95,Реестр!$A:$A,0)),"⚠ нет в реестре")</f>
        <v/>
      </c>
      <c r="E95" s="27" t="inlineStr">
        <is>
          <t>Кнопка «Повторить»</t>
        </is>
      </c>
      <c r="F95" s="27" t="inlineStr">
        <is>
          <t>Переход</t>
        </is>
      </c>
      <c r="G95" s="27" t="inlineStr">
        <is>
          <t>A-01</t>
        </is>
      </c>
      <c r="H95" s="29">
        <f>IF(G95="ANCHOR","Прокрутка к секции",IF(G95="EXT","Внешняя ссылка",IF(G95="PARENT","Вернуться туда, откуда открыто",IFERROR(INDEX(Реестр!$C:$C,MATCH(G95,Реестр!$A:$A,0)),"⚠ нет в реестре"))))</f>
        <v/>
      </c>
      <c r="I95" s="27" t="n"/>
      <c r="J95" s="28" t="inlineStr">
        <is>
          <t>Связано</t>
        </is>
      </c>
      <c r="K95" s="27" t="inlineStr">
        <is>
          <t>Карточка в галерее A-33</t>
        </is>
      </c>
    </row>
    <row r="96" ht="15" customHeight="1" s="13">
      <c r="A96" s="27" t="inlineStr">
        <is>
          <t>L-204</t>
        </is>
      </c>
      <c r="B96" s="27" t="inlineStr">
        <is>
          <t>SYS</t>
        </is>
      </c>
      <c r="C96" s="27" t="inlineStr">
        <is>
          <t>SYS-01</t>
        </is>
      </c>
      <c r="D96" s="29">
        <f>IFERROR(INDEX(Реестр!$C:$C,MATCH(C96,Реестр!$A:$A,0)),"⚠ нет в реестре")</f>
        <v/>
      </c>
      <c r="E96" s="27" t="inlineStr">
        <is>
          <t>Кнопка «На главную»</t>
        </is>
      </c>
      <c r="F96" s="27" t="inlineStr">
        <is>
          <t>Переход</t>
        </is>
      </c>
      <c r="G96" s="27" t="inlineStr">
        <is>
          <t>PUB-01</t>
        </is>
      </c>
      <c r="H96" s="29">
        <f>IF(G96="ANCHOR","Прокрутка к секции",IF(G96="EXT","Внешняя ссылка",IF(G96="PARENT","Вернуться туда, откуда открыто",IFERROR(INDEX(Реестр!$C:$C,MATCH(G96,Реестр!$A:$A,0)),"⚠ нет в реестре"))))</f>
        <v/>
      </c>
      <c r="I96" s="27" t="n"/>
      <c r="J96" s="28" t="inlineStr">
        <is>
          <t>Связано</t>
        </is>
      </c>
      <c r="K96" s="27" t="inlineStr">
        <is>
          <t>Плюс «Мои записи» для авторизованного</t>
        </is>
      </c>
    </row>
    <row r="97" ht="23.85" customHeight="1" s="13">
      <c r="A97" s="27" t="inlineStr">
        <is>
          <t>L-207</t>
        </is>
      </c>
      <c r="B97" s="27" t="inlineStr">
        <is>
          <t>SYS</t>
        </is>
      </c>
      <c r="C97" s="27" t="inlineStr">
        <is>
          <t>SYS-03</t>
        </is>
      </c>
      <c r="D97" s="29">
        <f>IFERROR(INDEX(Реестр!$C:$C,MATCH(C97,Реестр!$A:$A,0)),"⚠ нет в реестре")</f>
        <v/>
      </c>
      <c r="E97" s="27" t="inlineStr">
        <is>
          <t>Кнопка «Войти снова»</t>
        </is>
      </c>
      <c r="F97" s="27" t="inlineStr">
        <is>
          <t>Переход</t>
        </is>
      </c>
      <c r="G97" s="27" t="inlineStr">
        <is>
          <t>AUTH-04</t>
        </is>
      </c>
      <c r="H97" s="29">
        <f>IF(G97="ANCHOR","Прокрутка к секции",IF(G97="EXT","Внешняя ссылка",IF(G97="PARENT","Вернуться туда, откуда открыто",IFERROR(INDEX(Реестр!$C:$C,MATCH(G97,Реестр!$A:$A,0)),"⚠ нет в реестре"))))</f>
        <v/>
      </c>
      <c r="I97" s="27" t="inlineStr">
        <is>
          <t>Для клиента — AUTH-01</t>
        </is>
      </c>
      <c r="J97" s="28" t="inlineStr">
        <is>
          <t>Связано</t>
        </is>
      </c>
      <c r="K97" s="27" t="inlineStr">
        <is>
          <t>Сотрудник: «Войти» → AUTH-04 (галерея). Клиент: вход прямо в модалке BOOK-M3</t>
        </is>
      </c>
    </row>
    <row r="98" ht="23.85" customHeight="1" s="13">
      <c r="A98" s="27" t="inlineStr">
        <is>
          <t>L-208</t>
        </is>
      </c>
      <c r="B98" s="27" t="inlineStr">
        <is>
          <t>SYS</t>
        </is>
      </c>
      <c r="C98" s="27" t="inlineStr">
        <is>
          <t>SYS-04</t>
        </is>
      </c>
      <c r="D98" s="29">
        <f>IFERROR(INDEX(Реестр!$C:$C,MATCH(C98,Реестр!$A:$A,0)),"⚠ нет в реестре")</f>
        <v/>
      </c>
      <c r="E98" s="27" t="inlineStr">
        <is>
          <t>Кнопка «Ко входу»</t>
        </is>
      </c>
      <c r="F98" s="27" t="inlineStr">
        <is>
          <t>Переход</t>
        </is>
      </c>
      <c r="G98" s="27" t="inlineStr">
        <is>
          <t>AUTH-04</t>
        </is>
      </c>
      <c r="H98" s="29">
        <f>IF(G98="ANCHOR","Прокрутка к секции",IF(G98="EXT","Внешняя ссылка",IF(G98="PARENT","Вернуться туда, откуда открыто",IFERROR(INDEX(Реестр!$C:$C,MATCH(G98,Реестр!$A:$A,0)),"⚠ нет в реестре"))))</f>
        <v/>
      </c>
      <c r="I98" s="27" t="n"/>
      <c r="J98" s="28" t="inlineStr">
        <is>
          <t>Связано</t>
        </is>
      </c>
      <c r="K98" s="27" t="inlineStr">
        <is>
          <t>Кнопка «Выйти» → AUTH-04 (галерея)</t>
        </is>
      </c>
    </row>
    <row r="99" ht="23.85" customHeight="1" s="13">
      <c r="A99" s="27" t="inlineStr">
        <is>
          <t>L-209</t>
        </is>
      </c>
      <c r="B99" s="27" t="inlineStr">
        <is>
          <t>SYS</t>
        </is>
      </c>
      <c r="C99" s="27" t="inlineStr">
        <is>
          <t>SYS-04</t>
        </is>
      </c>
      <c r="D99" s="29">
        <f>IFERROR(INDEX(Реестр!$C:$C,MATCH(C99,Реестр!$A:$A,0)),"⚠ нет в реестре")</f>
        <v/>
      </c>
      <c r="E99" s="27" t="inlineStr">
        <is>
          <t>«Связаться с администратором»</t>
        </is>
      </c>
      <c r="F99" s="27" t="inlineStr">
        <is>
          <t>Внешняя ссылка</t>
        </is>
      </c>
      <c r="G99" s="27" t="inlineStr">
        <is>
          <t>EXT</t>
        </is>
      </c>
      <c r="H99" s="29">
        <f>IF(G99="ANCHOR","Прокрутка к секции",IF(G99="EXT","Внешняя ссылка",IF(G99="PARENT","Вернуться туда, откуда открыто",IFERROR(INDEX(Реестр!$C:$C,MATCH(G99,Реестр!$A:$A,0)),"⚠ нет в реестре"))))</f>
        <v/>
      </c>
      <c r="I99" s="27" t="n"/>
      <c r="J99" s="28" t="inlineStr">
        <is>
          <t>Нет элемента</t>
        </is>
      </c>
      <c r="K99" s="27" t="inlineStr">
        <is>
          <t>Нет</t>
        </is>
      </c>
    </row>
    <row r="100" ht="23.85" customHeight="1" s="13">
      <c r="A100" s="27" t="inlineStr">
        <is>
          <t>L-210</t>
        </is>
      </c>
      <c r="B100" s="27" t="inlineStr">
        <is>
          <t>PUB</t>
        </is>
      </c>
      <c r="C100" s="27" t="inlineStr">
        <is>
          <t>PUB-01</t>
        </is>
      </c>
      <c r="D100" s="29">
        <f>IFERROR(INDEX(Реестр!$C:$C,MATCH(C100,Реестр!$A:$A,0)),"⚠ нет в реестре")</f>
        <v/>
      </c>
      <c r="E100" s="27" t="inlineStr">
        <is>
          <t>Кнопка «Записаться к мастеру» на карточке мастера</t>
        </is>
      </c>
      <c r="F100" s="27" t="inlineStr">
        <is>
          <t>Переход</t>
        </is>
      </c>
      <c r="G100" s="27" t="inlineStr">
        <is>
          <t>BOOK-01</t>
        </is>
      </c>
      <c r="H100" s="29">
        <f>IF(G100="ANCHOR","Прокрутка к секции",IF(G100="EXT","Внешняя ссылка",IF(G100="PARENT","Вернуться туда, откуда открыто",IFERROR(INDEX(Реестр!$C:$C,MATCH(G100,Реестр!$A:$A,0)),"⚠ нет в реестре"))))</f>
        <v/>
      </c>
      <c r="I100" s="27" t="inlineStr">
        <is>
          <t>Мастер закреплён</t>
        </is>
      </c>
      <c r="J100" s="28" t="inlineStr">
        <is>
          <t>Связано</t>
        </is>
      </c>
      <c r="K100" s="27" t="inlineStr">
        <is>
          <t>Есть в прототипе, не было в карте</t>
        </is>
      </c>
    </row>
    <row r="101" ht="15" customHeight="1" s="13">
      <c r="A101" s="27" t="inlineStr">
        <is>
          <t>L-211</t>
        </is>
      </c>
      <c r="B101" s="27" t="inlineStr">
        <is>
          <t>AUTH</t>
        </is>
      </c>
      <c r="C101" s="27" t="inlineStr">
        <is>
          <t>AUTH-01</t>
        </is>
      </c>
      <c r="D101" s="29">
        <f>IFERROR(INDEX(Реестр!$C:$C,MATCH(C101,Реестр!$A:$A,0)),"⚠ нет в реестре")</f>
        <v/>
      </c>
      <c r="E101" s="27" t="inlineStr">
        <is>
          <t>Ссылка «Нет аккаунта? Зарегистрироваться»</t>
        </is>
      </c>
      <c r="F101" s="27" t="inlineStr">
        <is>
          <t>Переход</t>
        </is>
      </c>
      <c r="G101" s="27" t="inlineStr">
        <is>
          <t>AUTH-03</t>
        </is>
      </c>
      <c r="H101" s="29">
        <f>IF(G101="ANCHOR","Прокрутка к секции",IF(G101="EXT","Внешняя ссылка",IF(G101="PARENT","Вернуться туда, откуда открыто",IFERROR(INDEX(Реестр!$C:$C,MATCH(G101,Реестр!$A:$A,0)),"⚠ нет в реестре"))))</f>
        <v/>
      </c>
      <c r="I101" s="27" t="n"/>
      <c r="J101" s="28" t="inlineStr">
        <is>
          <t>Связано</t>
        </is>
      </c>
      <c r="K101" s="27" t="inlineStr">
        <is>
          <t>Есть в прототипе, не было в карте</t>
        </is>
      </c>
    </row>
    <row r="102" ht="15" customHeight="1" s="13">
      <c r="A102" s="27" t="inlineStr">
        <is>
          <t>L-212</t>
        </is>
      </c>
      <c r="B102" s="27" t="inlineStr">
        <is>
          <t>AUTH</t>
        </is>
      </c>
      <c r="C102" s="27" t="inlineStr">
        <is>
          <t>AUTH-01</t>
        </is>
      </c>
      <c r="D102" s="29">
        <f>IFERROR(INDEX(Реестр!$C:$C,MATCH(C102,Реестр!$A:$A,0)),"⚠ нет в реестре")</f>
        <v/>
      </c>
      <c r="E102" s="27" t="inlineStr">
        <is>
          <t>Кнопка «Войти» (пароль)</t>
        </is>
      </c>
      <c r="F102" s="27" t="inlineStr">
        <is>
          <t>Переход</t>
        </is>
      </c>
      <c r="G102" s="27" t="inlineStr">
        <is>
          <t>CAB-01</t>
        </is>
      </c>
      <c r="H102" s="29">
        <f>IF(G102="ANCHOR","Прокрутка к секции",IF(G102="EXT","Внешняя ссылка",IF(G102="PARENT","Вернуться туда, откуда открыто",IFERROR(INDEX(Реестр!$C:$C,MATCH(G102,Реестр!$A:$A,0)),"⚠ нет в реестре"))))</f>
        <v/>
      </c>
      <c r="I102" s="27" t="inlineStr">
        <is>
          <t>Если есть черновик записи — BOOK-04</t>
        </is>
      </c>
      <c r="J102" s="28" t="inlineStr">
        <is>
          <t>Связано</t>
        </is>
      </c>
      <c r="K102" s="27" t="inlineStr">
        <is>
          <t>Тест: +7 (911) 222-33-44 / Test1234</t>
        </is>
      </c>
    </row>
    <row r="103" ht="15" customHeight="1" s="13">
      <c r="A103" s="27" t="inlineStr">
        <is>
          <t>L-213</t>
        </is>
      </c>
      <c r="B103" s="27" t="inlineStr">
        <is>
          <t>AUTH</t>
        </is>
      </c>
      <c r="C103" s="27" t="inlineStr">
        <is>
          <t>AUTH-03</t>
        </is>
      </c>
      <c r="D103" s="29">
        <f>IFERROR(INDEX(Реестр!$C:$C,MATCH(C103,Реестр!$A:$A,0)),"⚠ нет в реестре")</f>
        <v/>
      </c>
      <c r="E103" s="27" t="inlineStr">
        <is>
          <t>Ссылка «Уже есть аккаунт? Войти»</t>
        </is>
      </c>
      <c r="F103" s="27" t="inlineStr">
        <is>
          <t>Переход</t>
        </is>
      </c>
      <c r="G103" s="27" t="inlineStr">
        <is>
          <t>AUTH-01</t>
        </is>
      </c>
      <c r="H103" s="29">
        <f>IF(G103="ANCHOR","Прокрутка к секции",IF(G103="EXT","Внешняя ссылка",IF(G103="PARENT","Вернуться туда, откуда открыто",IFERROR(INDEX(Реестр!$C:$C,MATCH(G103,Реестр!$A:$A,0)),"⚠ нет в реестре"))))</f>
        <v/>
      </c>
      <c r="I103" s="27" t="n"/>
      <c r="J103" s="28" t="inlineStr">
        <is>
          <t>Связано</t>
        </is>
      </c>
      <c r="K103" s="27" t="inlineStr">
        <is>
          <t>Есть в прототипе, не было в карте</t>
        </is>
      </c>
    </row>
    <row r="104" ht="15" customHeight="1" s="13">
      <c r="A104" s="27" t="inlineStr">
        <is>
          <t>L-215</t>
        </is>
      </c>
      <c r="B104" s="27" t="inlineStr">
        <is>
          <t>AUTH</t>
        </is>
      </c>
      <c r="C104" s="27" t="inlineStr">
        <is>
          <t>AUTH-03</t>
        </is>
      </c>
      <c r="D104" s="29">
        <f>IFERROR(INDEX(Реестр!$C:$C,MATCH(C104,Реестр!$A:$A,0)),"⚠ нет в реестре")</f>
        <v/>
      </c>
      <c r="E104" s="27" t="inlineStr">
        <is>
          <t>Плашка «Такой аккаунт уже есть» → «Войти»</t>
        </is>
      </c>
      <c r="F104" s="27" t="inlineStr">
        <is>
          <t>Переход</t>
        </is>
      </c>
      <c r="G104" s="27" t="inlineStr">
        <is>
          <t>AUTH-01</t>
        </is>
      </c>
      <c r="H104" s="29">
        <f>IF(G104="ANCHOR","Прокрутка к секции",IF(G104="EXT","Внешняя ссылка",IF(G104="PARENT","Вернуться туда, откуда открыто",IFERROR(INDEX(Реестр!$C:$C,MATCH(G104,Реестр!$A:$A,0)),"⚠ нет в реестре"))))</f>
        <v/>
      </c>
      <c r="I104" s="27" t="inlineStr">
        <is>
          <t>Логин подставляется</t>
        </is>
      </c>
      <c r="J104" s="28" t="inlineStr">
        <is>
          <t>Связано</t>
        </is>
      </c>
      <c r="K104" s="27" t="inlineStr">
        <is>
          <t>Есть в прототипе, не было в карте</t>
        </is>
      </c>
    </row>
    <row r="105" ht="15" customHeight="1" s="13">
      <c r="A105" s="27" t="inlineStr">
        <is>
          <t>L-216</t>
        </is>
      </c>
      <c r="B105" s="27" t="inlineStr">
        <is>
          <t>AUTH</t>
        </is>
      </c>
      <c r="C105" s="27" t="inlineStr">
        <is>
          <t>AUTH-02</t>
        </is>
      </c>
      <c r="D105" s="29">
        <f>IFERROR(INDEX(Реестр!$C:$C,MATCH(C105,Реестр!$A:$A,0)),"⚠ нет в реестре")</f>
        <v/>
      </c>
      <c r="E105" s="27" t="inlineStr">
        <is>
          <t>Код сотрудника</t>
        </is>
      </c>
      <c r="F105" s="27" t="inlineStr">
        <is>
          <t>Переход</t>
        </is>
      </c>
      <c r="G105" s="27" t="inlineStr">
        <is>
          <t>A-01</t>
        </is>
      </c>
      <c r="H105" s="29">
        <f>IF(G105="ANCHOR","Прокрутка к секции",IF(G105="EXT","Внешняя ссылка",IF(G105="PARENT","Вернуться туда, откуда открыто",IFERROR(INDEX(Реестр!$C:$C,MATCH(G105,Реестр!$A:$A,0)),"⚠ нет в реестре"))))</f>
        <v/>
      </c>
      <c r="I105" s="27" t="inlineStr">
        <is>
          <t>Контекст «сотрудник»</t>
        </is>
      </c>
      <c r="J105" s="28" t="inlineStr">
        <is>
          <t>Связано</t>
        </is>
      </c>
      <c r="K105" s="27" t="inlineStr">
        <is>
          <t>Есть в прототипе, не было в карте</t>
        </is>
      </c>
    </row>
    <row r="106" ht="15" customHeight="1" s="13">
      <c r="A106" s="27" t="inlineStr">
        <is>
          <t>L-217</t>
        </is>
      </c>
      <c r="B106" s="27" t="inlineStr">
        <is>
          <t>AUTH</t>
        </is>
      </c>
      <c r="C106" s="27" t="inlineStr">
        <is>
          <t>AUTH-02</t>
        </is>
      </c>
      <c r="D106" s="29">
        <f>IFERROR(INDEX(Реестр!$C:$C,MATCH(C106,Реестр!$A:$A,0)),"⚠ нет в реестре")</f>
        <v/>
      </c>
      <c r="E106" s="27" t="inlineStr">
        <is>
          <t>Код восстановления пароля</t>
        </is>
      </c>
      <c r="F106" s="27" t="inlineStr">
        <is>
          <t>Переход</t>
        </is>
      </c>
      <c r="G106" s="27" t="inlineStr">
        <is>
          <t>AUTH-08</t>
        </is>
      </c>
      <c r="H106" s="29">
        <f>IF(G106="ANCHOR","Прокрутка к секции",IF(G106="EXT","Внешняя ссылка",IF(G106="PARENT","Вернуться туда, откуда открыто",IFERROR(INDEX(Реестр!$C:$C,MATCH(G106,Реестр!$A:$A,0)),"⚠ нет в реестре"))))</f>
        <v/>
      </c>
      <c r="I106" s="27" t="inlineStr">
        <is>
          <t>Контекст «восстановление»</t>
        </is>
      </c>
      <c r="J106" s="28" t="inlineStr">
        <is>
          <t>Связано</t>
        </is>
      </c>
      <c r="K106" s="27" t="inlineStr">
        <is>
          <t>Есть в прототипе, не было в карте</t>
        </is>
      </c>
    </row>
    <row r="107" ht="15" customHeight="1" s="13">
      <c r="A107" s="27" t="inlineStr">
        <is>
          <t>L-219</t>
        </is>
      </c>
      <c r="B107" s="27" t="inlineStr">
        <is>
          <t>AUTH</t>
        </is>
      </c>
      <c r="C107" s="27" t="inlineStr">
        <is>
          <t>AUTH-08</t>
        </is>
      </c>
      <c r="D107" s="29">
        <f>IFERROR(INDEX(Реестр!$C:$C,MATCH(C107,Реестр!$A:$A,0)),"⚠ нет в реестре")</f>
        <v/>
      </c>
      <c r="E107" s="27" t="inlineStr">
        <is>
          <t>Кнопка «Войти» после смены пароля</t>
        </is>
      </c>
      <c r="F107" s="27" t="inlineStr">
        <is>
          <t>Переход</t>
        </is>
      </c>
      <c r="G107" s="27" t="inlineStr">
        <is>
          <t>AUTH-01</t>
        </is>
      </c>
      <c r="H107" s="29">
        <f>IF(G107="ANCHOR","Прокрутка к секции",IF(G107="EXT","Внешняя ссылка",IF(G107="PARENT","Вернуться туда, откуда открыто",IFERROR(INDEX(Реестр!$C:$C,MATCH(G107,Реестр!$A:$A,0)),"⚠ нет в реестре"))))</f>
        <v/>
      </c>
      <c r="I107" s="27" t="inlineStr">
        <is>
          <t>Для сотрудника — AUTH-04</t>
        </is>
      </c>
      <c r="J107" s="28" t="inlineStr">
        <is>
          <t>Связано</t>
        </is>
      </c>
      <c r="K107" s="27" t="inlineStr">
        <is>
          <t>Есть в прототипе, не было в карте</t>
        </is>
      </c>
    </row>
    <row r="108" ht="15" customHeight="1" s="13">
      <c r="A108" s="27" t="inlineStr">
        <is>
          <t>L-220</t>
        </is>
      </c>
      <c r="B108" s="27" t="inlineStr">
        <is>
          <t>AUTH</t>
        </is>
      </c>
      <c r="C108" s="27" t="inlineStr">
        <is>
          <t>AUTH-08</t>
        </is>
      </c>
      <c r="D108" s="29">
        <f>IFERROR(INDEX(Реестр!$C:$C,MATCH(C108,Реестр!$A:$A,0)),"⚠ нет в реестре")</f>
        <v/>
      </c>
      <c r="E108" s="27" t="inlineStr">
        <is>
          <t>Кнопка «Отправить новую» (ссылка истекла)</t>
        </is>
      </c>
      <c r="F108" s="27" t="inlineStr">
        <is>
          <t>Переход</t>
        </is>
      </c>
      <c r="G108" s="27" t="inlineStr">
        <is>
          <t>AUTH-06</t>
        </is>
      </c>
      <c r="H108" s="29">
        <f>IF(G108="ANCHOR","Прокрутка к секции",IF(G108="EXT","Внешняя ссылка",IF(G108="PARENT","Вернуться туда, откуда открыто",IFERROR(INDEX(Реестр!$C:$C,MATCH(G108,Реестр!$A:$A,0)),"⚠ нет в реестре"))))</f>
        <v/>
      </c>
      <c r="I108" s="27" t="n"/>
      <c r="J108" s="28" t="inlineStr">
        <is>
          <t>Связано</t>
        </is>
      </c>
      <c r="K108" s="27" t="inlineStr">
        <is>
          <t>Есть в прототипе, не было в карте</t>
        </is>
      </c>
    </row>
    <row r="109" ht="15" customHeight="1" s="13">
      <c r="A109" s="27" t="inlineStr">
        <is>
          <t>L-221</t>
        </is>
      </c>
      <c r="B109" s="27" t="inlineStr">
        <is>
          <t>BOOK</t>
        </is>
      </c>
      <c r="C109" s="27" t="inlineStr">
        <is>
          <t>BOOK-01</t>
        </is>
      </c>
      <c r="D109" s="29">
        <f>IFERROR(INDEX(Реестр!$C:$C,MATCH(C109,Реестр!$A:$A,0)),"⚠ нет в реестре")</f>
        <v/>
      </c>
      <c r="E109" s="27" t="inlineStr">
        <is>
          <t>Клик по карточке услуги</t>
        </is>
      </c>
      <c r="F109" s="27" t="inlineStr">
        <is>
          <t>Модалка</t>
        </is>
      </c>
      <c r="G109" s="27" t="inlineStr">
        <is>
          <t>BOOK-M4</t>
        </is>
      </c>
      <c r="H109" s="29">
        <f>IF(G109="ANCHOR","Прокрутка к секции",IF(G109="EXT","Внешняя ссылка",IF(G109="PARENT","Вернуться туда, откуда открыто",IFERROR(INDEX(Реестр!$C:$C,MATCH(G109,Реестр!$A:$A,0)),"⚠ нет в реестре"))))</f>
        <v/>
      </c>
      <c r="I109" s="27" t="n"/>
      <c r="J109" s="28" t="inlineStr">
        <is>
          <t>Связано</t>
        </is>
      </c>
      <c r="K109" s="27" t="inlineStr">
        <is>
          <t>Есть в прототипе, не было в карте</t>
        </is>
      </c>
    </row>
    <row r="110" ht="15" customHeight="1" s="13">
      <c r="A110" s="27" t="inlineStr">
        <is>
          <t>L-222</t>
        </is>
      </c>
      <c r="B110" s="27" t="inlineStr">
        <is>
          <t>BOOK</t>
        </is>
      </c>
      <c r="C110" s="27" t="inlineStr">
        <is>
          <t>BOOK-M4</t>
        </is>
      </c>
      <c r="D110" s="29">
        <f>IFERROR(INDEX(Реестр!$C:$C,MATCH(C110,Реестр!$A:$A,0)),"⚠ нет в реестре")</f>
        <v/>
      </c>
      <c r="E110" s="27" t="inlineStr">
        <is>
          <t>Клик по фону / «Добавить»</t>
        </is>
      </c>
      <c r="F110" s="27" t="inlineStr">
        <is>
          <t>Закрыть оверлей</t>
        </is>
      </c>
      <c r="G110" s="27" t="inlineStr">
        <is>
          <t>BOOK-01</t>
        </is>
      </c>
      <c r="H110" s="29">
        <f>IF(G110="ANCHOR","Прокрутка к секции",IF(G110="EXT","Внешняя ссылка",IF(G110="PARENT","Вернуться туда, откуда открыто",IFERROR(INDEX(Реестр!$C:$C,MATCH(G110,Реестр!$A:$A,0)),"⚠ нет в реестре"))))</f>
        <v/>
      </c>
      <c r="I110" s="27" t="n"/>
      <c r="J110" s="28" t="inlineStr">
        <is>
          <t>Связано</t>
        </is>
      </c>
      <c r="K110" s="27" t="inlineStr">
        <is>
          <t>Есть в прототипе, не было в карте</t>
        </is>
      </c>
    </row>
    <row r="111" ht="15" customHeight="1" s="13">
      <c r="A111" s="27" t="inlineStr">
        <is>
          <t>L-223</t>
        </is>
      </c>
      <c r="B111" s="27" t="inlineStr">
        <is>
          <t>BOOK</t>
        </is>
      </c>
      <c r="C111" s="27" t="inlineStr">
        <is>
          <t>BOOK-01</t>
        </is>
      </c>
      <c r="D111" s="29">
        <f>IFERROR(INDEX(Реестр!$C:$C,MATCH(C111,Реестр!$A:$A,0)),"⚠ нет в реестре")</f>
        <v/>
      </c>
      <c r="E111" s="27" t="inlineStr">
        <is>
          <t>Корзина с услугами, которые не делает выбранный мастер</t>
        </is>
      </c>
      <c r="F111" s="27" t="inlineStr">
        <is>
          <t>Модалка</t>
        </is>
      </c>
      <c r="G111" s="27" t="inlineStr">
        <is>
          <t>BOOK-M5</t>
        </is>
      </c>
      <c r="H111" s="29">
        <f>IF(G111="ANCHOR","Прокрутка к секции",IF(G111="EXT","Внешняя ссылка",IF(G111="PARENT","Вернуться туда, откуда открыто",IFERROR(INDEX(Реестр!$C:$C,MATCH(G111,Реестр!$A:$A,0)),"⚠ нет в реестре"))))</f>
        <v/>
      </c>
      <c r="I111" s="27" t="n"/>
      <c r="J111" s="28" t="inlineStr">
        <is>
          <t>Связано</t>
        </is>
      </c>
      <c r="K111" s="27" t="inlineStr">
        <is>
          <t>Есть в прототипе, не было в карте</t>
        </is>
      </c>
    </row>
    <row r="112" ht="15" customHeight="1" s="13">
      <c r="A112" s="27" t="inlineStr">
        <is>
          <t>L-224</t>
        </is>
      </c>
      <c r="B112" s="27" t="inlineStr">
        <is>
          <t>BOOK</t>
        </is>
      </c>
      <c r="C112" s="27" t="inlineStr">
        <is>
          <t>BOOK-M5</t>
        </is>
      </c>
      <c r="D112" s="29">
        <f>IFERROR(INDEX(Реестр!$C:$C,MATCH(C112,Реестр!$A:$A,0)),"⚠ нет в реестре")</f>
        <v/>
      </c>
      <c r="E112" s="27" t="inlineStr">
        <is>
          <t>Кнопка «Выбрать другого мастера»</t>
        </is>
      </c>
      <c r="F112" s="27" t="inlineStr">
        <is>
          <t>Переход</t>
        </is>
      </c>
      <c r="G112" s="27" t="inlineStr">
        <is>
          <t>BOOK-02</t>
        </is>
      </c>
      <c r="H112" s="29">
        <f>IF(G112="ANCHOR","Прокрутка к секции",IF(G112="EXT","Внешняя ссылка",IF(G112="PARENT","Вернуться туда, откуда открыто",IFERROR(INDEX(Реестр!$C:$C,MATCH(G112,Реестр!$A:$A,0)),"⚠ нет в реестре"))))</f>
        <v/>
      </c>
      <c r="I112" s="27" t="inlineStr">
        <is>
          <t>«Убрать услугу» — закрыть оверлей</t>
        </is>
      </c>
      <c r="J112" s="28" t="inlineStr">
        <is>
          <t>Связано</t>
        </is>
      </c>
      <c r="K112" s="27" t="inlineStr">
        <is>
          <t>Есть в прототипе, не было в карте</t>
        </is>
      </c>
    </row>
    <row r="113" ht="15" customHeight="1" s="13">
      <c r="A113" s="27" t="inlineStr">
        <is>
          <t>L-225</t>
        </is>
      </c>
      <c r="B113" s="27" t="inlineStr">
        <is>
          <t>A</t>
        </is>
      </c>
      <c r="C113" s="27" t="inlineStr">
        <is>
          <t>A-03</t>
        </is>
      </c>
      <c r="D113" s="29">
        <f>IFERROR(INDEX(Реестр!$C:$C,MATCH(C113,Реестр!$A:$A,0)),"⚠ нет в реестре")</f>
        <v/>
      </c>
      <c r="E113" s="27" t="inlineStr">
        <is>
          <t>Кнопка «Визит завершён»</t>
        </is>
      </c>
      <c r="F113" s="27" t="inlineStr">
        <is>
          <t>Закрыть оверлей</t>
        </is>
      </c>
      <c r="G113" s="27" t="inlineStr">
        <is>
          <t>A-01</t>
        </is>
      </c>
      <c r="H113" s="29">
        <f>IF(G113="ANCHOR","Прокрутка к секции",IF(G113="EXT","Внешняя ссылка",IF(G113="PARENT","Вернуться туда, откуда открыто",IFERROR(INDEX(Реестр!$C:$C,MATCH(G113,Реестр!$A:$A,0)),"⚠ нет в реестре"))))</f>
        <v/>
      </c>
      <c r="I113" s="27" t="inlineStr">
        <is>
          <t>Статус «Завершена»</t>
        </is>
      </c>
      <c r="J113" s="28" t="inlineStr">
        <is>
          <t>Связано</t>
        </is>
      </c>
      <c r="K113" s="27" t="inlineStr">
        <is>
          <t>Есть в прототипе, не было в карте</t>
        </is>
      </c>
    </row>
    <row r="114" ht="15" customHeight="1" s="13">
      <c r="A114" s="27" t="inlineStr">
        <is>
          <t>L-226</t>
        </is>
      </c>
      <c r="B114" s="27" t="inlineStr">
        <is>
          <t>BOOK</t>
        </is>
      </c>
      <c r="C114" s="27" t="inlineStr">
        <is>
          <t>BOOK-02</t>
        </is>
      </c>
      <c r="D114" s="29">
        <f>IFERROR(INDEX(Реестр!$C:$C,MATCH(C114,Реестр!$A:$A,0)),"⚠ нет в реестре")</f>
        <v/>
      </c>
      <c r="E114" s="27" t="inlineStr">
        <is>
          <t>Ссылка «Подробнее» у мастера</t>
        </is>
      </c>
      <c r="F114" s="27" t="inlineStr">
        <is>
          <t>Переход</t>
        </is>
      </c>
      <c r="G114" s="27" t="inlineStr">
        <is>
          <t>PUB-05</t>
        </is>
      </c>
      <c r="H114" s="29">
        <f>IF(G114="ANCHOR","Прокрутка к секции",IF(G114="EXT","Внешняя ссылка",IF(G114="PARENT","Вернуться туда, откуда открыто",IFERROR(INDEX(Реестр!$C:$C,MATCH(G114,Реестр!$A:$A,0)),"⚠ нет в реестре"))))</f>
        <v/>
      </c>
      <c r="I114" s="27" t="inlineStr">
        <is>
          <t>«← Назад» в профиле вернёт на BOOK-02</t>
        </is>
      </c>
      <c r="J114" s="28" t="inlineStr">
        <is>
          <t>Связано</t>
        </is>
      </c>
      <c r="K114" s="27" t="inlineStr">
        <is>
          <t>Есть в прототипе, не было в карте</t>
        </is>
      </c>
    </row>
    <row r="115" ht="15" customHeight="1" s="13">
      <c r="A115" s="27" t="inlineStr">
        <is>
          <t>L-227</t>
        </is>
      </c>
      <c r="B115" s="27" t="inlineStr">
        <is>
          <t>BOOK</t>
        </is>
      </c>
      <c r="C115" s="27" t="inlineStr">
        <is>
          <t>BOOK-01</t>
        </is>
      </c>
      <c r="D115" s="29">
        <f>IFERROR(INDEX(Реестр!$C:$C,MATCH(C115,Реестр!$A:$A,0)),"⚠ нет в реестре")</f>
        <v/>
      </c>
      <c r="E115" s="27" t="inlineStr">
        <is>
          <t>Логотип в шапке записи / «← Назад» на шаге услуг</t>
        </is>
      </c>
      <c r="F115" s="27" t="inlineStr">
        <is>
          <t>Модалка</t>
        </is>
      </c>
      <c r="G115" s="27" t="inlineStr">
        <is>
          <t>BOOK-M6</t>
        </is>
      </c>
      <c r="H115" s="29">
        <f>IF(G115="ANCHOR","Прокрутка к секции",IF(G115="EXT","Внешняя ссылка",IF(G115="PARENT","Вернуться туда, откуда открыто",IFERROR(INDEX(Реестр!$C:$C,MATCH(G115,Реестр!$A:$A,0)),"⚠ нет в реестре"))))</f>
        <v/>
      </c>
      <c r="I115" s="27" t="inlineStr">
        <is>
          <t>Логотип работает на всех шагах BOOK-01…04</t>
        </is>
      </c>
      <c r="J115" s="28" t="inlineStr">
        <is>
          <t>Связано</t>
        </is>
      </c>
      <c r="K115" s="27" t="inlineStr">
        <is>
          <t>Есть в прототипе, не было в карте</t>
        </is>
      </c>
    </row>
    <row r="116" ht="15" customHeight="1" s="13">
      <c r="A116" s="27" t="inlineStr">
        <is>
          <t>L-228</t>
        </is>
      </c>
      <c r="B116" s="27" t="inlineStr">
        <is>
          <t>BOOK</t>
        </is>
      </c>
      <c r="C116" s="27" t="inlineStr">
        <is>
          <t>BOOK-M6</t>
        </is>
      </c>
      <c r="D116" s="29">
        <f>IFERROR(INDEX(Реестр!$C:$C,MATCH(C116,Реестр!$A:$A,0)),"⚠ нет в реестре")</f>
        <v/>
      </c>
      <c r="E116" s="27" t="inlineStr">
        <is>
          <t>Кнопка «Выйти»</t>
        </is>
      </c>
      <c r="F116" s="27" t="inlineStr">
        <is>
          <t>Переход</t>
        </is>
      </c>
      <c r="G116" s="27" t="inlineStr">
        <is>
          <t>PUB-01</t>
        </is>
      </c>
      <c r="H116" s="29">
        <f>IF(G116="ANCHOR","Прокрутка к секции",IF(G116="EXT","Внешняя ссылка",IF(G116="PARENT","Вернуться туда, откуда открыто",IFERROR(INDEX(Реестр!$C:$C,MATCH(G116,Реестр!$A:$A,0)),"⚠ нет в реестре"))))</f>
        <v/>
      </c>
      <c r="I116" s="27" t="inlineStr">
        <is>
          <t>Корзина очищается</t>
        </is>
      </c>
      <c r="J116" s="28" t="inlineStr">
        <is>
          <t>Связано</t>
        </is>
      </c>
      <c r="K116" s="27" t="inlineStr">
        <is>
          <t>Есть в прототипе, не было в карте</t>
        </is>
      </c>
    </row>
    <row r="117" ht="15" customHeight="1" s="13">
      <c r="A117" s="27" t="inlineStr">
        <is>
          <t>L-229</t>
        </is>
      </c>
      <c r="B117" s="27" t="inlineStr">
        <is>
          <t>BOOK</t>
        </is>
      </c>
      <c r="C117" s="27" t="inlineStr">
        <is>
          <t>BOOK-M6</t>
        </is>
      </c>
      <c r="D117" s="29">
        <f>IFERROR(INDEX(Реестр!$C:$C,MATCH(C117,Реестр!$A:$A,0)),"⚠ нет в реестре")</f>
        <v/>
      </c>
      <c r="E117" s="27" t="inlineStr">
        <is>
          <t>Кнопка «Остаться»</t>
        </is>
      </c>
      <c r="F117" s="27" t="inlineStr">
        <is>
          <t>Закрыть оверлей</t>
        </is>
      </c>
      <c r="G117" s="27" t="inlineStr">
        <is>
          <t>PARENT</t>
        </is>
      </c>
      <c r="H117" s="29">
        <f>IF(G117="ANCHOR","Прокрутка к секции",IF(G117="EXT","Внешняя ссылка",IF(G117="PARENT","Вернуться туда, откуда открыто",IFERROR(INDEX(Реестр!$C:$C,MATCH(G117,Реестр!$A:$A,0)),"⚠ нет в реестре"))))</f>
        <v/>
      </c>
      <c r="I117" s="27" t="n"/>
      <c r="J117" s="28" t="inlineStr">
        <is>
          <t>Связано</t>
        </is>
      </c>
      <c r="K117" s="27" t="inlineStr">
        <is>
          <t>Есть в прототипе, не было в карте</t>
        </is>
      </c>
    </row>
    <row r="118" ht="15" customHeight="1" s="13">
      <c r="A118" s="27" t="inlineStr">
        <is>
          <t>L-231</t>
        </is>
      </c>
      <c r="B118" s="27" t="inlineStr">
        <is>
          <t>BOOK</t>
        </is>
      </c>
      <c r="C118" s="27" t="inlineStr">
        <is>
          <t>BOOK-04</t>
        </is>
      </c>
      <c r="D118" s="29">
        <f>IFERROR(INDEX(Реестр!$C:$C,MATCH(C118,Реестр!$A:$A,0)),"⚠ нет в реестре")</f>
        <v/>
      </c>
      <c r="E118" s="27" t="inlineStr">
        <is>
          <t>Истекло удержание слота (10 минут)</t>
        </is>
      </c>
      <c r="F118" s="27" t="inlineStr">
        <is>
          <t>Модалка</t>
        </is>
      </c>
      <c r="G118" s="27" t="inlineStr">
        <is>
          <t>BOOK-M2</t>
        </is>
      </c>
      <c r="H118" s="29">
        <f>IF(G118="ANCHOR","Прокрутка к секции",IF(G118="EXT","Внешняя ссылка",IF(G118="PARENT","Вернуться туда, откуда открыто",IFERROR(INDEX(Реестр!$C:$C,MATCH(G118,Реестр!$A:$A,0)),"⚠ нет в реестре"))))</f>
        <v/>
      </c>
      <c r="I118" s="27" t="n"/>
      <c r="J118" s="28" t="inlineStr">
        <is>
          <t>Связано</t>
        </is>
      </c>
      <c r="K118" s="27" t="inlineStr">
        <is>
          <t>Есть в прототипе, не было в карте</t>
        </is>
      </c>
    </row>
    <row r="119" ht="15" customHeight="1" s="13">
      <c r="A119" s="27" t="inlineStr">
        <is>
          <t>L-232</t>
        </is>
      </c>
      <c r="B119" s="27" t="inlineStr">
        <is>
          <t>BOOK</t>
        </is>
      </c>
      <c r="C119" s="27" t="inlineStr">
        <is>
          <t>BOOK-M2</t>
        </is>
      </c>
      <c r="D119" s="29">
        <f>IFERROR(INDEX(Реестр!$C:$C,MATCH(C119,Реестр!$A:$A,0)),"⚠ нет в реестре")</f>
        <v/>
      </c>
      <c r="E119" s="27" t="inlineStr">
        <is>
          <t>Кнопка «Проверить снова»</t>
        </is>
      </c>
      <c r="F119" s="27" t="inlineStr">
        <is>
          <t>Закрыть оверлей</t>
        </is>
      </c>
      <c r="G119" s="27" t="inlineStr">
        <is>
          <t>BOOK-04</t>
        </is>
      </c>
      <c r="H119" s="29">
        <f>IF(G119="ANCHOR","Прокрутка к секции",IF(G119="EXT","Внешняя ссылка",IF(G119="PARENT","Вернуться туда, откуда открыто",IFERROR(INDEX(Реестр!$C:$C,MATCH(G119,Реестр!$A:$A,0)),"⚠ нет в реестре"))))</f>
        <v/>
      </c>
      <c r="I119" s="27" t="inlineStr">
        <is>
          <t>Если время заняли — BOOK-M1</t>
        </is>
      </c>
      <c r="J119" s="28" t="inlineStr">
        <is>
          <t>Связано</t>
        </is>
      </c>
      <c r="K119" s="27" t="inlineStr">
        <is>
          <t>Есть в прототипе, не было в карте</t>
        </is>
      </c>
    </row>
    <row r="120" ht="15" customHeight="1" s="13">
      <c r="A120" s="27" t="inlineStr">
        <is>
          <t>L-233</t>
        </is>
      </c>
      <c r="B120" s="27" t="inlineStr">
        <is>
          <t>BOOK</t>
        </is>
      </c>
      <c r="C120" s="27" t="inlineStr">
        <is>
          <t>BOOK-04</t>
        </is>
      </c>
      <c r="D120" s="29">
        <f>IFERROR(INDEX(Реестр!$C:$C,MATCH(C120,Реестр!$A:$A,0)),"⚠ нет в реестре")</f>
        <v/>
      </c>
      <c r="E120" s="27" t="inlineStr">
        <is>
          <t>Сессия истекла при подтверждении</t>
        </is>
      </c>
      <c r="F120" s="27" t="inlineStr">
        <is>
          <t>Модалка</t>
        </is>
      </c>
      <c r="G120" s="27" t="inlineStr">
        <is>
          <t>BOOK-M3</t>
        </is>
      </c>
      <c r="H120" s="29">
        <f>IF(G120="ANCHOR","Прокрутка к секции",IF(G120="EXT","Внешняя ссылка",IF(G120="PARENT","Вернуться туда, откуда открыто",IFERROR(INDEX(Реестр!$C:$C,MATCH(G120,Реестр!$A:$A,0)),"⚠ нет в реестре"))))</f>
        <v/>
      </c>
      <c r="I120" s="27" t="inlineStr">
        <is>
          <t>Сценарий в панели разработчика</t>
        </is>
      </c>
      <c r="J120" s="28" t="inlineStr">
        <is>
          <t>Связано</t>
        </is>
      </c>
      <c r="K120" s="27" t="inlineStr">
        <is>
          <t>Есть в прототипе, не было в карте</t>
        </is>
      </c>
    </row>
    <row r="121" ht="15" customHeight="1" s="13">
      <c r="A121" s="27" t="inlineStr">
        <is>
          <t>L-234</t>
        </is>
      </c>
      <c r="B121" s="27" t="inlineStr">
        <is>
          <t>BOOK</t>
        </is>
      </c>
      <c r="C121" s="27" t="inlineStr">
        <is>
          <t>BOOK-M3</t>
        </is>
      </c>
      <c r="D121" s="29">
        <f>IFERROR(INDEX(Реестр!$C:$C,MATCH(C121,Реестр!$A:$A,0)),"⚠ нет в реестре")</f>
        <v/>
      </c>
      <c r="E121" s="27" t="inlineStr">
        <is>
          <t>Кнопка «Войти»</t>
        </is>
      </c>
      <c r="F121" s="27" t="inlineStr">
        <is>
          <t>Закрыть оверлей</t>
        </is>
      </c>
      <c r="G121" s="27" t="inlineStr">
        <is>
          <t>BOOK-04</t>
        </is>
      </c>
      <c r="H121" s="29">
        <f>IF(G121="ANCHOR","Прокрутка к секции",IF(G121="EXT","Внешняя ссылка",IF(G121="PARENT","Вернуться туда, откуда открыто",IFERROR(INDEX(Реестр!$C:$C,MATCH(G121,Реестр!$A:$A,0)),"⚠ нет в реестре"))))</f>
        <v/>
      </c>
      <c r="I121" s="27" t="n"/>
      <c r="J121" s="28" t="inlineStr">
        <is>
          <t>Связано</t>
        </is>
      </c>
      <c r="K121" s="27" t="inlineStr">
        <is>
          <t>Есть в прототипе, не было в карте</t>
        </is>
      </c>
    </row>
    <row r="122" ht="15" customHeight="1" s="13">
      <c r="A122" s="27" t="inlineStr">
        <is>
          <t>L-235</t>
        </is>
      </c>
      <c r="B122" s="27" t="inlineStr">
        <is>
          <t>BOOK</t>
        </is>
      </c>
      <c r="C122" s="27" t="inlineStr">
        <is>
          <t>BOOK-04</t>
        </is>
      </c>
      <c r="D122" s="29">
        <f>IFERROR(INDEX(Реестр!$C:$C,MATCH(C122,Реестр!$A:$A,0)),"⚠ нет в реестре")</f>
        <v/>
      </c>
      <c r="E122" s="27" t="inlineStr">
        <is>
          <t>Ссылка «Изменить в профиле»</t>
        </is>
      </c>
      <c r="F122" s="27" t="inlineStr">
        <is>
          <t>Переход</t>
        </is>
      </c>
      <c r="G122" s="27" t="inlineStr">
        <is>
          <t>CAB-07</t>
        </is>
      </c>
      <c r="H122" s="29">
        <f>IF(G122="ANCHOR","Прокрутка к секции",IF(G122="EXT","Внешняя ссылка",IF(G122="PARENT","Вернуться туда, откуда открыто",IFERROR(INDEX(Реестр!$C:$C,MATCH(G122,Реестр!$A:$A,0)),"⚠ нет в реестре"))))</f>
        <v/>
      </c>
      <c r="I122" s="27" t="n"/>
      <c r="J122" s="28" t="inlineStr">
        <is>
          <t>Связано</t>
        </is>
      </c>
      <c r="K122" s="27" t="inlineStr">
        <is>
          <t>Есть в прототипе, не было в карте</t>
        </is>
      </c>
    </row>
    <row r="123" ht="15" customHeight="1" s="13">
      <c r="A123" s="27" t="inlineStr">
        <is>
          <t>L-236</t>
        </is>
      </c>
      <c r="B123" s="27" t="inlineStr">
        <is>
          <t>BOOK</t>
        </is>
      </c>
      <c r="C123" s="27" t="inlineStr">
        <is>
          <t>BOOK-05</t>
        </is>
      </c>
      <c r="D123" s="29">
        <f>IFERROR(INDEX(Реестр!$C:$C,MATCH(C123,Реестр!$A:$A,0)),"⚠ нет в реестре")</f>
        <v/>
      </c>
      <c r="E123" s="27" t="inlineStr">
        <is>
          <t>Кнопка «Записаться ещё»</t>
        </is>
      </c>
      <c r="F123" s="27" t="inlineStr">
        <is>
          <t>Переход</t>
        </is>
      </c>
      <c r="G123" s="27" t="inlineStr">
        <is>
          <t>BOOK-01</t>
        </is>
      </c>
      <c r="H123" s="29">
        <f>IF(G123="ANCHOR","Прокрутка к секции",IF(G123="EXT","Внешняя ссылка",IF(G123="PARENT","Вернуться туда, откуда открыто",IFERROR(INDEX(Реестр!$C:$C,MATCH(G123,Реестр!$A:$A,0)),"⚠ нет в реестре"))))</f>
        <v/>
      </c>
      <c r="I123" s="27" t="n"/>
      <c r="J123" s="28" t="inlineStr">
        <is>
          <t>Связано</t>
        </is>
      </c>
      <c r="K123" s="27" t="inlineStr">
        <is>
          <t>Есть в прототипе, не было в карте</t>
        </is>
      </c>
    </row>
    <row r="124" ht="15" customHeight="1" s="13">
      <c r="A124" s="27" t="inlineStr">
        <is>
          <t>L-237</t>
        </is>
      </c>
      <c r="B124" s="27" t="inlineStr">
        <is>
          <t>BOOK</t>
        </is>
      </c>
      <c r="C124" s="27" t="inlineStr">
        <is>
          <t>BOOK-06</t>
        </is>
      </c>
      <c r="D124" s="29">
        <f>IFERROR(INDEX(Реестр!$C:$C,MATCH(C124,Реестр!$A:$A,0)),"⚠ нет в реестре")</f>
        <v/>
      </c>
      <c r="E124" s="27" t="inlineStr">
        <is>
          <t>Ссылка «Позвонить в салон»</t>
        </is>
      </c>
      <c r="F124" s="27" t="inlineStr">
        <is>
          <t>Внешняя ссылка</t>
        </is>
      </c>
      <c r="G124" s="27" t="inlineStr">
        <is>
          <t>EXT</t>
        </is>
      </c>
      <c r="H124" s="29">
        <f>IF(G124="ANCHOR","Прокрутка к секции",IF(G124="EXT","Внешняя ссылка",IF(G124="PARENT","Вернуться туда, откуда открыто",IFERROR(INDEX(Реестр!$C:$C,MATCH(G124,Реестр!$A:$A,0)),"⚠ нет в реестре"))))</f>
        <v/>
      </c>
      <c r="I124" s="27" t="n"/>
      <c r="J124" s="28" t="inlineStr">
        <is>
          <t>Связано</t>
        </is>
      </c>
      <c r="K124" s="27" t="inlineStr">
        <is>
          <t>Есть в прототипе, не было в карте</t>
        </is>
      </c>
    </row>
    <row r="125" ht="23.85" customHeight="1" s="13">
      <c r="A125" s="27" t="inlineStr">
        <is>
          <t>L-238</t>
        </is>
      </c>
      <c r="B125" s="27" t="inlineStr">
        <is>
          <t>CAB</t>
        </is>
      </c>
      <c r="C125" s="27" t="inlineStr">
        <is>
          <t>CAB-01</t>
        </is>
      </c>
      <c r="D125" s="29">
        <f>IFERROR(INDEX(Реестр!$C:$C,MATCH(C125,Реестр!$A:$A,0)),"⚠ нет в реестре")</f>
        <v/>
      </c>
      <c r="E125" s="27" t="inlineStr">
        <is>
          <t>Кнопка «Перенести» у ближайшей записи</t>
        </is>
      </c>
      <c r="F125" s="27" t="inlineStr">
        <is>
          <t>Переход</t>
        </is>
      </c>
      <c r="G125" s="27" t="inlineStr">
        <is>
          <t>CAB-04</t>
        </is>
      </c>
      <c r="H125" s="29">
        <f>IF(G125="ANCHOR","Прокрутка к секции",IF(G125="EXT","Внешняя ссылка",IF(G125="PARENT","Вернуться туда, откуда открыто",IFERROR(INDEX(Реестр!$C:$C,MATCH(G125,Реестр!$A:$A,0)),"⚠ нет в реестре"))))</f>
        <v/>
      </c>
      <c r="I125" s="27" t="n"/>
      <c r="J125" s="28" t="inlineStr">
        <is>
          <t>Связано</t>
        </is>
      </c>
      <c r="K125" s="27" t="inlineStr">
        <is>
          <t>Есть в прототипе, не было в карте</t>
        </is>
      </c>
    </row>
    <row r="126" ht="15" customHeight="1" s="13">
      <c r="A126" s="27" t="inlineStr">
        <is>
          <t>L-239</t>
        </is>
      </c>
      <c r="B126" s="27" t="inlineStr">
        <is>
          <t>CAB</t>
        </is>
      </c>
      <c r="C126" s="27" t="inlineStr">
        <is>
          <t>CAB-01</t>
        </is>
      </c>
      <c r="D126" s="29">
        <f>IFERROR(INDEX(Реестр!$C:$C,MATCH(C126,Реестр!$A:$A,0)),"⚠ нет в реестре")</f>
        <v/>
      </c>
      <c r="E126" s="27" t="inlineStr">
        <is>
          <t>Кнопка «Отменить» у ближайшей записи</t>
        </is>
      </c>
      <c r="F126" s="27" t="inlineStr">
        <is>
          <t>Модалка</t>
        </is>
      </c>
      <c r="G126" s="27" t="inlineStr">
        <is>
          <t>CAB-05</t>
        </is>
      </c>
      <c r="H126" s="29">
        <f>IF(G126="ANCHOR","Прокрутка к секции",IF(G126="EXT","Внешняя ссылка",IF(G126="PARENT","Вернуться туда, откуда открыто",IFERROR(INDEX(Реестр!$C:$C,MATCH(G126,Реестр!$A:$A,0)),"⚠ нет в реестре"))))</f>
        <v/>
      </c>
      <c r="I126" s="27" t="n"/>
      <c r="J126" s="28" t="inlineStr">
        <is>
          <t>Связано</t>
        </is>
      </c>
      <c r="K126" s="27" t="inlineStr">
        <is>
          <t>Есть в прототипе, не было в карте</t>
        </is>
      </c>
    </row>
    <row r="127" ht="15" customHeight="1" s="13">
      <c r="A127" s="27" t="inlineStr">
        <is>
          <t>L-240</t>
        </is>
      </c>
      <c r="B127" s="27" t="inlineStr">
        <is>
          <t>CAB</t>
        </is>
      </c>
      <c r="C127" s="27" t="inlineStr">
        <is>
          <t>CAB-01</t>
        </is>
      </c>
      <c r="D127" s="29">
        <f>IFERROR(INDEX(Реестр!$C:$C,MATCH(C127,Реестр!$A:$A,0)),"⚠ нет в реестре")</f>
        <v/>
      </c>
      <c r="E127" s="27" t="inlineStr">
        <is>
          <t>Кнопка «Повторить последний визит»</t>
        </is>
      </c>
      <c r="F127" s="27" t="inlineStr">
        <is>
          <t>Переход</t>
        </is>
      </c>
      <c r="G127" s="27" t="inlineStr">
        <is>
          <t>BOOK-03</t>
        </is>
      </c>
      <c r="H127" s="29">
        <f>IF(G127="ANCHOR","Прокрутка к секции",IF(G127="EXT","Внешняя ссылка",IF(G127="PARENT","Вернуться туда, откуда открыто",IFERROR(INDEX(Реестр!$C:$C,MATCH(G127,Реестр!$A:$A,0)),"⚠ нет в реестре"))))</f>
        <v/>
      </c>
      <c r="I127" s="27" t="inlineStr">
        <is>
          <t>Услуга и мастер подставлены</t>
        </is>
      </c>
      <c r="J127" s="28" t="inlineStr">
        <is>
          <t>Связано</t>
        </is>
      </c>
      <c r="K127" s="27" t="inlineStr">
        <is>
          <t>Есть в прототипе, не было в карте</t>
        </is>
      </c>
    </row>
    <row r="128" ht="15" customHeight="1" s="13">
      <c r="A128" s="27" t="inlineStr">
        <is>
          <t>L-241</t>
        </is>
      </c>
      <c r="B128" s="27" t="inlineStr">
        <is>
          <t>CAB</t>
        </is>
      </c>
      <c r="C128" s="27" t="inlineStr">
        <is>
          <t>CAB-01</t>
        </is>
      </c>
      <c r="D128" s="29">
        <f>IFERROR(INDEX(Реестр!$C:$C,MATCH(C128,Реестр!$A:$A,0)),"⚠ нет в реестре")</f>
        <v/>
      </c>
      <c r="E128" s="27" t="inlineStr">
        <is>
          <t>Популярная услуга в пустом кабинете</t>
        </is>
      </c>
      <c r="F128" s="27" t="inlineStr">
        <is>
          <t>Переход</t>
        </is>
      </c>
      <c r="G128" s="27" t="inlineStr">
        <is>
          <t>BOOK-02</t>
        </is>
      </c>
      <c r="H128" s="29">
        <f>IF(G128="ANCHOR","Прокрутка к секции",IF(G128="EXT","Внешняя ссылка",IF(G128="PARENT","Вернуться туда, откуда открыто",IFERROR(INDEX(Реестр!$C:$C,MATCH(G128,Реестр!$A:$A,0)),"⚠ нет в реестре"))))</f>
        <v/>
      </c>
      <c r="I128" s="27" t="inlineStr">
        <is>
          <t>Услуга подставлена</t>
        </is>
      </c>
      <c r="J128" s="28" t="inlineStr">
        <is>
          <t>Связано</t>
        </is>
      </c>
      <c r="K128" s="27" t="inlineStr">
        <is>
          <t>Есть в прототипе, не было в карте</t>
        </is>
      </c>
    </row>
    <row r="129" ht="15" customHeight="1" s="13">
      <c r="A129" s="27" t="inlineStr">
        <is>
          <t>L-242</t>
        </is>
      </c>
      <c r="B129" s="27" t="inlineStr">
        <is>
          <t>CAB</t>
        </is>
      </c>
      <c r="C129" s="27" t="inlineStr">
        <is>
          <t>CAB-03</t>
        </is>
      </c>
      <c r="D129" s="29">
        <f>IFERROR(INDEX(Реестр!$C:$C,MATCH(C129,Реестр!$A:$A,0)),"⚠ нет в реестре")</f>
        <v/>
      </c>
      <c r="E129" s="27" t="inlineStr">
        <is>
          <t>Ссылка «Позвонить в салон» (меньше 24 ч)</t>
        </is>
      </c>
      <c r="F129" s="27" t="inlineStr">
        <is>
          <t>Внешняя ссылка</t>
        </is>
      </c>
      <c r="G129" s="27" t="inlineStr">
        <is>
          <t>EXT</t>
        </is>
      </c>
      <c r="H129" s="29">
        <f>IF(G129="ANCHOR","Прокрутка к секции",IF(G129="EXT","Внешняя ссылка",IF(G129="PARENT","Вернуться туда, откуда открыто",IFERROR(INDEX(Реестр!$C:$C,MATCH(G129,Реестр!$A:$A,0)),"⚠ нет в реестре"))))</f>
        <v/>
      </c>
      <c r="I129" s="27" t="n"/>
      <c r="J129" s="28" t="inlineStr">
        <is>
          <t>Связано</t>
        </is>
      </c>
      <c r="K129" s="27" t="inlineStr">
        <is>
          <t>Есть в прототипе, не было в карте</t>
        </is>
      </c>
    </row>
    <row r="130" ht="15" customHeight="1" s="13">
      <c r="A130" s="27" t="inlineStr">
        <is>
          <t>L-243</t>
        </is>
      </c>
      <c r="B130" s="27" t="inlineStr">
        <is>
          <t>CAB</t>
        </is>
      </c>
      <c r="C130" s="27" t="inlineStr">
        <is>
          <t>CAB-03</t>
        </is>
      </c>
      <c r="D130" s="29">
        <f>IFERROR(INDEX(Реестр!$C:$C,MATCH(C130,Реестр!$A:$A,0)),"⚠ нет в реестре")</f>
        <v/>
      </c>
      <c r="E130" s="27" t="inlineStr">
        <is>
          <t>Кнопки «Повторить запись» / «Выбрать новое время»</t>
        </is>
      </c>
      <c r="F130" s="27" t="inlineStr">
        <is>
          <t>Переход</t>
        </is>
      </c>
      <c r="G130" s="27" t="inlineStr">
        <is>
          <t>BOOK-03</t>
        </is>
      </c>
      <c r="H130" s="29">
        <f>IF(G130="ANCHOR","Прокрутка к секции",IF(G130="EXT","Внешняя ссылка",IF(G130="PARENT","Вернуться туда, откуда открыто",IFERROR(INDEX(Реестр!$C:$C,MATCH(G130,Реестр!$A:$A,0)),"⚠ нет в реестре"))))</f>
        <v/>
      </c>
      <c r="I130" s="27" t="inlineStr">
        <is>
          <t>Для завершённой / отменённой студией</t>
        </is>
      </c>
      <c r="J130" s="28" t="inlineStr">
        <is>
          <t>Связано</t>
        </is>
      </c>
      <c r="K130" s="27" t="inlineStr">
        <is>
          <t>Есть в прототипе, не было в карте</t>
        </is>
      </c>
    </row>
    <row r="131" ht="15" customHeight="1" s="13">
      <c r="A131" s="27" t="inlineStr">
        <is>
          <t>L-244</t>
        </is>
      </c>
      <c r="B131" s="27" t="inlineStr">
        <is>
          <t>CAB</t>
        </is>
      </c>
      <c r="C131" s="27" t="inlineStr">
        <is>
          <t>CAB-05</t>
        </is>
      </c>
      <c r="D131" s="29">
        <f>IFERROR(INDEX(Реестр!$C:$C,MATCH(C131,Реестр!$A:$A,0)),"⚠ нет в реестре")</f>
        <v/>
      </c>
      <c r="E131" s="27" t="inlineStr">
        <is>
          <t>Ссылка «Может, перенести?»</t>
        </is>
      </c>
      <c r="F131" s="27" t="inlineStr">
        <is>
          <t>Переход</t>
        </is>
      </c>
      <c r="G131" s="27" t="inlineStr">
        <is>
          <t>CAB-04</t>
        </is>
      </c>
      <c r="H131" s="29">
        <f>IF(G131="ANCHOR","Прокрутка к секции",IF(G131="EXT","Внешняя ссылка",IF(G131="PARENT","Вернуться туда, откуда открыто",IFERROR(INDEX(Реестр!$C:$C,MATCH(G131,Реестр!$A:$A,0)),"⚠ нет в реестре"))))</f>
        <v/>
      </c>
      <c r="I131" s="27" t="n"/>
      <c r="J131" s="28" t="inlineStr">
        <is>
          <t>Связано</t>
        </is>
      </c>
      <c r="K131" s="27" t="inlineStr">
        <is>
          <t>Есть в прототипе, не было в карте</t>
        </is>
      </c>
    </row>
    <row r="132" ht="15" customHeight="1" s="13">
      <c r="A132" s="27" t="inlineStr">
        <is>
          <t>L-245</t>
        </is>
      </c>
      <c r="B132" s="27" t="inlineStr">
        <is>
          <t>CAB</t>
        </is>
      </c>
      <c r="C132" s="27" t="inlineStr">
        <is>
          <t>CAB-05</t>
        </is>
      </c>
      <c r="D132" s="29">
        <f>IFERROR(INDEX(Реестр!$C:$C,MATCH(C132,Реестр!$A:$A,0)),"⚠ нет в реестре")</f>
        <v/>
      </c>
      <c r="E132" s="27" t="inlineStr">
        <is>
          <t>Кнопка «Записаться на другое время»</t>
        </is>
      </c>
      <c r="F132" s="27" t="inlineStr">
        <is>
          <t>Переход</t>
        </is>
      </c>
      <c r="G132" s="27" t="inlineStr">
        <is>
          <t>BOOK-03</t>
        </is>
      </c>
      <c r="H132" s="29">
        <f>IF(G132="ANCHOR","Прокрутка к секции",IF(G132="EXT","Внешняя ссылка",IF(G132="PARENT","Вернуться туда, откуда открыто",IFERROR(INDEX(Реестр!$C:$C,MATCH(G132,Реестр!$A:$A,0)),"⚠ нет в реестре"))))</f>
        <v/>
      </c>
      <c r="I132" s="27" t="inlineStr">
        <is>
          <t>После успешной отмены</t>
        </is>
      </c>
      <c r="J132" s="28" t="inlineStr">
        <is>
          <t>Связано</t>
        </is>
      </c>
      <c r="K132" s="27" t="inlineStr">
        <is>
          <t>Есть в прототипе, не было в карте</t>
        </is>
      </c>
    </row>
    <row r="133" ht="15" customHeight="1" s="13">
      <c r="A133" s="27" t="inlineStr">
        <is>
          <t>L-246</t>
        </is>
      </c>
      <c r="B133" s="27" t="inlineStr">
        <is>
          <t>CAB</t>
        </is>
      </c>
      <c r="C133" s="27" t="inlineStr">
        <is>
          <t>CAB-07</t>
        </is>
      </c>
      <c r="D133" s="29">
        <f>IFERROR(INDEX(Реестр!$C:$C,MATCH(C133,Реестр!$A:$A,0)),"⚠ нет в реестре")</f>
        <v/>
      </c>
      <c r="E133" s="27" t="inlineStr">
        <is>
          <t>Ссылка «Удалить аккаунт»</t>
        </is>
      </c>
      <c r="F133" s="27" t="inlineStr">
        <is>
          <t>Модалка</t>
        </is>
      </c>
      <c r="G133" s="27" t="inlineStr">
        <is>
          <t>CAB-10</t>
        </is>
      </c>
      <c r="H133" s="29">
        <f>IF(G133="ANCHOR","Прокрутка к секции",IF(G133="EXT","Внешняя ссылка",IF(G133="PARENT","Вернуться туда, откуда открыто",IFERROR(INDEX(Реестр!$C:$C,MATCH(G133,Реестр!$A:$A,0)),"⚠ нет в реестре"))))</f>
        <v/>
      </c>
      <c r="I133" s="27" t="n"/>
      <c r="J133" s="28" t="inlineStr">
        <is>
          <t>Связано</t>
        </is>
      </c>
      <c r="K133" s="27" t="inlineStr">
        <is>
          <t>Есть в прототипе, не было в карте</t>
        </is>
      </c>
    </row>
    <row r="134" ht="15" customHeight="1" s="13">
      <c r="A134" s="27" t="inlineStr">
        <is>
          <t>L-247</t>
        </is>
      </c>
      <c r="B134" s="27" t="inlineStr">
        <is>
          <t>CAB</t>
        </is>
      </c>
      <c r="C134" s="27" t="inlineStr">
        <is>
          <t>CAB-10</t>
        </is>
      </c>
      <c r="D134" s="29">
        <f>IFERROR(INDEX(Реестр!$C:$C,MATCH(C134,Реестр!$A:$A,0)),"⚠ нет в реестре")</f>
        <v/>
      </c>
      <c r="E134" s="27" t="inlineStr">
        <is>
          <t>Кнопка «Удалить аккаунт»</t>
        </is>
      </c>
      <c r="F134" s="27" t="inlineStr">
        <is>
          <t>Переход</t>
        </is>
      </c>
      <c r="G134" s="27" t="inlineStr">
        <is>
          <t>PUB-01</t>
        </is>
      </c>
      <c r="H134" s="29">
        <f>IF(G134="ANCHOR","Прокрутка к секции",IF(G134="EXT","Внешняя ссылка",IF(G134="PARENT","Вернуться туда, откуда открыто",IFERROR(INDEX(Реестр!$C:$C,MATCH(G134,Реестр!$A:$A,0)),"⚠ нет в реестре"))))</f>
        <v/>
      </c>
      <c r="I134" s="27" t="n"/>
      <c r="J134" s="28" t="inlineStr">
        <is>
          <t>Связано</t>
        </is>
      </c>
      <c r="K134" s="27" t="inlineStr">
        <is>
          <t>Есть в прототипе, не было в карте</t>
        </is>
      </c>
    </row>
    <row r="135" ht="15" customHeight="1" s="13">
      <c r="A135" s="27" t="inlineStr">
        <is>
          <t>L-248</t>
        </is>
      </c>
      <c r="B135" s="27" t="inlineStr">
        <is>
          <t>CAB</t>
        </is>
      </c>
      <c r="C135" s="27" t="inlineStr">
        <is>
          <t>CAB-10</t>
        </is>
      </c>
      <c r="D135" s="29">
        <f>IFERROR(INDEX(Реестр!$C:$C,MATCH(C135,Реестр!$A:$A,0)),"⚠ нет в реестре")</f>
        <v/>
      </c>
      <c r="E135" s="27" t="inlineStr">
        <is>
          <t>Кнопка «Отмена»</t>
        </is>
      </c>
      <c r="F135" s="27" t="inlineStr">
        <is>
          <t>Закрыть оверлей</t>
        </is>
      </c>
      <c r="G135" s="27" t="inlineStr">
        <is>
          <t>CAB-07</t>
        </is>
      </c>
      <c r="H135" s="29">
        <f>IF(G135="ANCHOR","Прокрутка к секции",IF(G135="EXT","Внешняя ссылка",IF(G135="PARENT","Вернуться туда, откуда открыто",IFERROR(INDEX(Реестр!$C:$C,MATCH(G135,Реестр!$A:$A,0)),"⚠ нет в реестре"))))</f>
        <v/>
      </c>
      <c r="I135" s="27" t="n"/>
      <c r="J135" s="28" t="inlineStr">
        <is>
          <t>Связано</t>
        </is>
      </c>
      <c r="K135" s="27" t="inlineStr">
        <is>
          <t>Есть в прототипе, не было в карте</t>
        </is>
      </c>
    </row>
    <row r="136" ht="23.85" customHeight="1" s="13">
      <c r="A136" s="27" t="inlineStr">
        <is>
          <t>L-250</t>
        </is>
      </c>
      <c r="B136" s="27" t="inlineStr">
        <is>
          <t>SYS</t>
        </is>
      </c>
      <c r="C136" s="27" t="inlineStr">
        <is>
          <t>SYS-01</t>
        </is>
      </c>
      <c r="D136" s="29">
        <f>IFERROR(INDEX(Реестр!$C:$C,MATCH(C136,Реестр!$A:$A,0)),"⚠ нет в реестре")</f>
        <v/>
      </c>
      <c r="E136" s="27" t="inlineStr">
        <is>
          <t>Ссылка «Мои записи» (авторизован)</t>
        </is>
      </c>
      <c r="F136" s="27" t="inlineStr">
        <is>
          <t>Переход</t>
        </is>
      </c>
      <c r="G136" s="27" t="inlineStr">
        <is>
          <t>CAB-01</t>
        </is>
      </c>
      <c r="H136" s="29">
        <f>IF(G136="ANCHOR","Прокрутка к секции",IF(G136="EXT","Внешняя ссылка",IF(G136="PARENT","Вернуться туда, откуда открыто",IFERROR(INDEX(Реестр!$C:$C,MATCH(G136,Реестр!$A:$A,0)),"⚠ нет в реестре"))))</f>
        <v/>
      </c>
      <c r="I136" s="27" t="n"/>
      <c r="J136" s="28" t="inlineStr">
        <is>
          <t>Связано</t>
        </is>
      </c>
      <c r="K136" s="27" t="inlineStr">
        <is>
          <t>Есть в прототипе, не было в карте</t>
        </is>
      </c>
    </row>
    <row r="137" ht="15" customHeight="1" s="13">
      <c r="A137" s="27" t="inlineStr">
        <is>
          <t>L-251</t>
        </is>
      </c>
      <c r="B137" s="27" t="inlineStr">
        <is>
          <t>SYS</t>
        </is>
      </c>
      <c r="C137" s="27" t="inlineStr">
        <is>
          <t>SYS-05</t>
        </is>
      </c>
      <c r="D137" s="29">
        <f>IFERROR(INDEX(Реестр!$C:$C,MATCH(C137,Реестр!$A:$A,0)),"⚠ нет в реестре")</f>
        <v/>
      </c>
      <c r="E137" s="27" t="inlineStr">
        <is>
          <t>Телефон студии</t>
        </is>
      </c>
      <c r="F137" s="27" t="inlineStr">
        <is>
          <t>Внешняя ссылка</t>
        </is>
      </c>
      <c r="G137" s="27" t="inlineStr">
        <is>
          <t>EXT</t>
        </is>
      </c>
      <c r="H137" s="29">
        <f>IF(G137="ANCHOR","Прокрутка к секции",IF(G137="EXT","Внешняя ссылка",IF(G137="PARENT","Вернуться туда, откуда открыто",IFERROR(INDEX(Реестр!$C:$C,MATCH(G137,Реестр!$A:$A,0)),"⚠ нет в реестре"))))</f>
        <v/>
      </c>
      <c r="I137" s="27" t="n"/>
      <c r="J137" s="28" t="inlineStr">
        <is>
          <t>Связано</t>
        </is>
      </c>
      <c r="K137" s="27" t="inlineStr">
        <is>
          <t>Есть в прототипе, не было в карте</t>
        </is>
      </c>
    </row>
    <row r="138" ht="15" customHeight="1" s="13">
      <c r="A138" s="27" t="inlineStr">
        <is>
          <t>L-252</t>
        </is>
      </c>
      <c r="B138" s="27" t="inlineStr">
        <is>
          <t>A</t>
        </is>
      </c>
      <c r="C138" s="27" t="inlineStr">
        <is>
          <t>A-33</t>
        </is>
      </c>
      <c r="D138" s="29">
        <f>IFERROR(INDEX(Реестр!$C:$C,MATCH(C138,Реестр!$A:$A,0)),"⚠ нет в реестре")</f>
        <v/>
      </c>
      <c r="E138" s="27" t="inlineStr">
        <is>
          <t>Кнопки карточек A-S1/A-S2 («Обновить», «Повторить», «Отмена»)</t>
        </is>
      </c>
      <c r="F138" s="27" t="inlineStr">
        <is>
          <t>Переход</t>
        </is>
      </c>
      <c r="G138" s="27" t="inlineStr">
        <is>
          <t>A-01</t>
        </is>
      </c>
      <c r="H138" s="29">
        <f>IF(G138="ANCHOR","Прокрутка к секции",IF(G138="EXT","Внешняя ссылка",IF(G138="PARENT","Вернуться туда, откуда открыто",IFERROR(INDEX(Реестр!$C:$C,MATCH(G138,Реестр!$A:$A,0)),"⚠ нет в реестре"))))</f>
        <v/>
      </c>
      <c r="I138" s="27" t="n"/>
      <c r="J138" s="28" t="inlineStr">
        <is>
          <t>Связано</t>
        </is>
      </c>
      <c r="K138" s="27" t="inlineStr">
        <is>
          <t>Есть в прототипе, не было в карте</t>
        </is>
      </c>
    </row>
    <row r="139" ht="15" customHeight="1" s="13">
      <c r="A139" s="27" t="inlineStr">
        <is>
          <t>L-253</t>
        </is>
      </c>
      <c r="B139" s="27" t="inlineStr">
        <is>
          <t>A</t>
        </is>
      </c>
      <c r="C139" s="27" t="inlineStr">
        <is>
          <t>A-33</t>
        </is>
      </c>
      <c r="D139" s="29">
        <f>IFERROR(INDEX(Реестр!$C:$C,MATCH(C139,Реестр!$A:$A,0)),"⚠ нет в реестре")</f>
        <v/>
      </c>
      <c r="E139" s="27" t="inlineStr">
        <is>
          <t>Кнопки карточек SYS-03/SYS-04 («Войти», «Выйти»)</t>
        </is>
      </c>
      <c r="F139" s="27" t="inlineStr">
        <is>
          <t>Переход</t>
        </is>
      </c>
      <c r="G139" s="27" t="inlineStr">
        <is>
          <t>AUTH-04</t>
        </is>
      </c>
      <c r="H139" s="29">
        <f>IF(G139="ANCHOR","Прокрутка к секции",IF(G139="EXT","Внешняя ссылка",IF(G139="PARENT","Вернуться туда, откуда открыто",IFERROR(INDEX(Реестр!$C:$C,MATCH(G139,Реестр!$A:$A,0)),"⚠ нет в реестре"))))</f>
        <v/>
      </c>
      <c r="I139" s="27" t="n"/>
      <c r="J139" s="28" t="inlineStr">
        <is>
          <t>Связано</t>
        </is>
      </c>
      <c r="K139" s="27" t="inlineStr">
        <is>
          <t>Есть в прототипе, не было в карте</t>
        </is>
      </c>
    </row>
    <row r="140" ht="15" customHeight="1" s="13">
      <c r="A140" s="27" t="inlineStr">
        <is>
          <t>L-254</t>
        </is>
      </c>
      <c r="B140" s="27" t="inlineStr">
        <is>
          <t>A</t>
        </is>
      </c>
      <c r="C140" s="27" t="inlineStr">
        <is>
          <t>A-20</t>
        </is>
      </c>
      <c r="D140" s="29">
        <f>IFERROR(INDEX(Реестр!$C:$C,MATCH(C140,Реестр!$A:$A,0)),"⚠ нет в реестре")</f>
        <v/>
      </c>
      <c r="E140" s="27" t="inlineStr">
        <is>
          <t>Блок «Особые дни студии» под сеткой смен</t>
        </is>
      </c>
      <c r="F140" s="27" t="inlineStr">
        <is>
          <t>Панель</t>
        </is>
      </c>
      <c r="G140" s="27" t="inlineStr">
        <is>
          <t>A-20d</t>
        </is>
      </c>
      <c r="H140" s="29">
        <f>IF(G140="ANCHOR","Прокрутка к секции",IF(G140="EXT","Внешняя ссылка",IF(G140="PARENT","Вернуться туда, откуда открыто",IFERROR(INDEX(Реестр!$C:$C,MATCH(G140,Реестр!$A:$A,0)),"⚠ нет в реестре"))))</f>
        <v/>
      </c>
      <c r="I140" s="27" t="n"/>
      <c r="J140" s="28" t="inlineStr">
        <is>
          <t>Связано</t>
        </is>
      </c>
      <c r="K140" s="27" t="inlineStr">
        <is>
          <t>Блок всегда виден под сеткой</t>
        </is>
      </c>
    </row>
    <row r="141" ht="15" customHeight="1" s="13">
      <c r="A141" s="27" t="inlineStr">
        <is>
          <t>L-255</t>
        </is>
      </c>
      <c r="B141" s="27" t="inlineStr">
        <is>
          <t>A</t>
        </is>
      </c>
      <c r="C141" s="27" t="inlineStr">
        <is>
          <t>A-20d</t>
        </is>
      </c>
      <c r="D141" s="29">
        <f>IFERROR(INDEX(Реестр!$C:$C,MATCH(C141,Реестр!$A:$A,0)),"⚠ нет в реестре")</f>
        <v/>
      </c>
      <c r="E141" s="27" t="inlineStr">
        <is>
          <t>Кнопка «Добавить день»</t>
        </is>
      </c>
      <c r="F141" s="27" t="inlineStr">
        <is>
          <t>Переход</t>
        </is>
      </c>
      <c r="G141" s="27" t="inlineStr">
        <is>
          <t>A-20</t>
        </is>
      </c>
      <c r="H141" s="29">
        <f>IF(G141="ANCHOR","Прокрутка к секции",IF(G141="EXT","Внешняя ссылка",IF(G141="PARENT","Вернуться туда, откуда открыто",IFERROR(INDEX(Реестр!$C:$C,MATCH(G141,Реестр!$A:$A,0)),"⚠ нет в реестре"))))</f>
        <v/>
      </c>
      <c r="I141" s="27" t="inlineStr">
        <is>
          <t>Сетка смен обновляется: особый день отмечен рамкой</t>
        </is>
      </c>
      <c r="J141" s="28" t="inlineStr">
        <is>
          <t>Связано</t>
        </is>
      </c>
      <c r="K141" s="27" t="inlineStr">
        <is>
          <t>Тост с числом записей, требующих решения</t>
        </is>
      </c>
    </row>
    <row r="142" ht="15" customHeight="1" s="13">
      <c r="A142" s="27" t="inlineStr">
        <is>
          <t>L-256</t>
        </is>
      </c>
      <c r="B142" s="27" t="inlineStr">
        <is>
          <t>A</t>
        </is>
      </c>
      <c r="C142" s="27" t="inlineStr">
        <is>
          <t>A-20d</t>
        </is>
      </c>
      <c r="D142" s="29">
        <f>IFERROR(INDEX(Реестр!$C:$C,MATCH(C142,Реестр!$A:$A,0)),"⚠ нет в реестре")</f>
        <v/>
      </c>
      <c r="E142" s="27" t="inlineStr">
        <is>
          <t>Кнопка «Удалить» у особого дня</t>
        </is>
      </c>
      <c r="F142" s="27" t="inlineStr">
        <is>
          <t>Переход</t>
        </is>
      </c>
      <c r="G142" s="27" t="inlineStr">
        <is>
          <t>A-20</t>
        </is>
      </c>
      <c r="H142" s="29">
        <f>IF(G142="ANCHOR","Прокрутка к секции",IF(G142="EXT","Внешняя ссылка",IF(G142="PARENT","Вернуться туда, откуда открыто",IFERROR(INDEX(Реестр!$C:$C,MATCH(G142,Реестр!$A:$A,0)),"⚠ нет в реестре"))))</f>
        <v/>
      </c>
      <c r="I142" s="27" t="n"/>
      <c r="J142" s="28" t="inlineStr">
        <is>
          <t>Связано</t>
        </is>
      </c>
      <c r="K142" s="27" t="inlineStr">
        <is>
          <t>День возвращается к обычному режиму</t>
        </is>
      </c>
    </row>
    <row r="143" ht="15" customHeight="1" s="13">
      <c r="A143" s="27" t="inlineStr">
        <is>
          <t>L-257</t>
        </is>
      </c>
      <c r="B143" s="27" t="inlineStr">
        <is>
          <t>A</t>
        </is>
      </c>
      <c r="C143" s="27" t="inlineStr">
        <is>
          <t>A-22</t>
        </is>
      </c>
      <c r="D143" s="29">
        <f>IFERROR(INDEX(Реестр!$C:$C,MATCH(C143,Реестр!$A:$A,0)),"⚠ нет в реестре")</f>
        <v/>
      </c>
      <c r="E143" s="27" t="inlineStr">
        <is>
          <t>Кнопка «Новый график с даты»</t>
        </is>
      </c>
      <c r="F143" s="27" t="inlineStr">
        <is>
          <t>Панель</t>
        </is>
      </c>
      <c r="G143" s="27" t="inlineStr">
        <is>
          <t>A-22p</t>
        </is>
      </c>
      <c r="H143" s="29">
        <f>IF(G143="ANCHOR","Прокрутка к секции",IF(G143="EXT","Внешняя ссылка",IF(G143="PARENT","Вернуться туда, откуда открыто",IFERROR(INDEX(Реестр!$C:$C,MATCH(G143,Реестр!$A:$A,0)),"⚠ нет в реестре"))))</f>
        <v/>
      </c>
      <c r="I143" s="27" t="n"/>
      <c r="J143" s="28" t="inlineStr">
        <is>
          <t>Связано</t>
        </is>
      </c>
      <c r="K143" s="27" t="inlineStr">
        <is>
          <t>Кнопка в блоке «График работы»</t>
        </is>
      </c>
    </row>
    <row r="144" ht="15" customHeight="1" s="13">
      <c r="A144" s="27" t="inlineStr">
        <is>
          <t>L-258</t>
        </is>
      </c>
      <c r="B144" s="27" t="inlineStr">
        <is>
          <t>A</t>
        </is>
      </c>
      <c r="C144" s="27" t="inlineStr">
        <is>
          <t>A-22p</t>
        </is>
      </c>
      <c r="D144" s="29">
        <f>IFERROR(INDEX(Реестр!$C:$C,MATCH(C144,Реестр!$A:$A,0)),"⚠ нет в реестре")</f>
        <v/>
      </c>
      <c r="E144" s="27" t="inlineStr">
        <is>
          <t>Кнопка «Сохранить график»</t>
        </is>
      </c>
      <c r="F144" s="27" t="inlineStr">
        <is>
          <t>Закрыть оверлей</t>
        </is>
      </c>
      <c r="G144" s="27" t="inlineStr">
        <is>
          <t>A-22</t>
        </is>
      </c>
      <c r="H144" s="29">
        <f>IF(G144="ANCHOR","Прокрутка к секции",IF(G144="EXT","Внешняя ссылка",IF(G144="PARENT","Вернуться туда, откуда открыто",IFERROR(INDEX(Реестр!$C:$C,MATCH(G144,Реестр!$A:$A,0)),"⚠ нет в реестре"))))</f>
        <v/>
      </c>
      <c r="I144" s="27" t="inlineStr">
        <is>
          <t>В карточке появляется блок «Новый график с …»</t>
        </is>
      </c>
      <c r="J144" s="28" t="inlineStr">
        <is>
          <t>Связано</t>
        </is>
      </c>
      <c r="K144" s="27" t="inlineStr">
        <is>
          <t>Проверки: дата не раньше завтра, есть рабочий день, смена в 10:00–20:00</t>
        </is>
      </c>
    </row>
    <row r="145" ht="15" customHeight="1" s="13">
      <c r="A145" s="27" t="inlineStr">
        <is>
          <t>L-259</t>
        </is>
      </c>
      <c r="B145" s="27" t="inlineStr">
        <is>
          <t>A</t>
        </is>
      </c>
      <c r="C145" s="27" t="inlineStr">
        <is>
          <t>A-22p</t>
        </is>
      </c>
      <c r="D145" s="29">
        <f>IFERROR(INDEX(Реестр!$C:$C,MATCH(C145,Реестр!$A:$A,0)),"⚠ нет в реестре")</f>
        <v/>
      </c>
      <c r="E145" s="27" t="inlineStr">
        <is>
          <t>Кнопка «Отмена»</t>
        </is>
      </c>
      <c r="F145" s="27" t="inlineStr">
        <is>
          <t>Закрыть оверлей</t>
        </is>
      </c>
      <c r="G145" s="27" t="inlineStr">
        <is>
          <t>A-22</t>
        </is>
      </c>
      <c r="H145" s="29">
        <f>IF(G145="ANCHOR","Прокрутка к секции",IF(G145="EXT","Внешняя ссылка",IF(G145="PARENT","Вернуться туда, откуда открыто",IFERROR(INDEX(Реестр!$C:$C,MATCH(G145,Реестр!$A:$A,0)),"⚠ нет в реестре"))))</f>
        <v/>
      </c>
      <c r="I145" s="27" t="n"/>
      <c r="J145" s="28" t="inlineStr">
        <is>
          <t>Связано</t>
        </is>
      </c>
      <c r="K145" s="27" t="inlineStr">
        <is>
          <t>Добавлено 25.09.2026 вместе с экраном</t>
        </is>
      </c>
    </row>
    <row r="146" ht="15" customHeight="1" s="13">
      <c r="A146" s="27" t="inlineStr">
        <is>
          <t>L-260</t>
        </is>
      </c>
      <c r="B146" s="27" t="inlineStr">
        <is>
          <t>A</t>
        </is>
      </c>
      <c r="C146" s="27" t="inlineStr">
        <is>
          <t>A-03</t>
        </is>
      </c>
      <c r="D146" s="29">
        <f>IFERROR(INDEX(Реестр!$C:$C,MATCH(C146,Реестр!$A:$A,0)),"⚠ нет в реестре")</f>
        <v/>
      </c>
      <c r="E146" s="27" t="inlineStr">
        <is>
          <t>Кнопка «Фото работ» (у завершённой записи)</t>
        </is>
      </c>
      <c r="F146" s="27" t="inlineStr">
        <is>
          <t>Модалка</t>
        </is>
      </c>
      <c r="G146" s="27" t="inlineStr">
        <is>
          <t>A-12</t>
        </is>
      </c>
      <c r="H146" s="29">
        <f>IF(G146="ANCHOR","Прокрутка к секции",IF(G146="EXT","Внешняя ссылка",IF(G146="PARENT","Вернуться туда, откуда открыто",IFERROR(INDEX(Реестр!$C:$C,MATCH(G146,Реестр!$A:$A,0)),"⚠ нет в реестре"))))</f>
        <v/>
      </c>
      <c r="I146" s="27" t="n"/>
      <c r="J146" s="28" t="inlineStr">
        <is>
          <t>Связано</t>
        </is>
      </c>
      <c r="K146" s="27" t="inlineStr">
        <is>
          <t>Только для статуса «Завершена»</t>
        </is>
      </c>
    </row>
    <row r="147" ht="15" customHeight="1" s="13">
      <c r="A147" s="27" t="inlineStr">
        <is>
          <t>L-261</t>
        </is>
      </c>
      <c r="B147" s="27" t="inlineStr">
        <is>
          <t>A</t>
        </is>
      </c>
      <c r="C147" s="27" t="inlineStr">
        <is>
          <t>A-09</t>
        </is>
      </c>
      <c r="D147" s="29">
        <f>IFERROR(INDEX(Реестр!$C:$C,MATCH(C147,Реестр!$A:$A,0)),"⚠ нет в реестре")</f>
        <v/>
      </c>
      <c r="E147" s="27" t="inlineStr">
        <is>
          <t>Ссылка «N фото» / «+ Добавить фото» в истории визитов</t>
        </is>
      </c>
      <c r="F147" s="27" t="inlineStr">
        <is>
          <t>Модалка</t>
        </is>
      </c>
      <c r="G147" s="27" t="inlineStr">
        <is>
          <t>A-12</t>
        </is>
      </c>
      <c r="H147" s="29">
        <f>IF(G147="ANCHOR","Прокрутка к секции",IF(G147="EXT","Внешняя ссылка",IF(G147="PARENT","Вернуться туда, откуда открыто",IFERROR(INDEX(Реестр!$C:$C,MATCH(G147,Реестр!$A:$A,0)),"⚠ нет в реестре"))))</f>
        <v/>
      </c>
      <c r="I147" s="27" t="n"/>
      <c r="J147" s="28" t="inlineStr">
        <is>
          <t>Связано</t>
        </is>
      </c>
      <c r="K147" s="27" t="inlineStr">
        <is>
          <t>Только у завершённых визитов</t>
        </is>
      </c>
    </row>
    <row r="148" ht="15" customHeight="1" s="13">
      <c r="A148" s="27" t="inlineStr">
        <is>
          <t>L-262</t>
        </is>
      </c>
      <c r="B148" s="27" t="inlineStr">
        <is>
          <t>A</t>
        </is>
      </c>
      <c r="C148" s="27" t="inlineStr">
        <is>
          <t>A-12</t>
        </is>
      </c>
      <c r="D148" s="29">
        <f>IFERROR(INDEX(Реестр!$C:$C,MATCH(C148,Реестр!$A:$A,0)),"⚠ нет в реестре")</f>
        <v/>
      </c>
      <c r="E148" s="27" t="inlineStr">
        <is>
          <t>Кнопка «Готово» / крестик / клик по фону</t>
        </is>
      </c>
      <c r="F148" s="27" t="inlineStr">
        <is>
          <t>Закрыть оверлей</t>
        </is>
      </c>
      <c r="G148" s="27" t="inlineStr">
        <is>
          <t>PARENT</t>
        </is>
      </c>
      <c r="H148" s="29">
        <f>IF(G148="ANCHOR","Прокрутка к секции",IF(G148="EXT","Внешняя ссылка",IF(G148="PARENT","Вернуться туда, откуда открыто",IFERROR(INDEX(Реестр!$C:$C,MATCH(G148,Реестр!$A:$A,0)),"⚠ нет в реестре"))))</f>
        <v/>
      </c>
      <c r="I148" s="27" t="n"/>
      <c r="J148" s="28" t="inlineStr">
        <is>
          <t>Связано</t>
        </is>
      </c>
      <c r="K148" s="27" t="inlineStr">
        <is>
          <t>Добавлено 25.09.2026 вместе с экраном</t>
        </is>
      </c>
    </row>
    <row r="149" ht="15" customHeight="1" s="13">
      <c r="A149" s="27" t="inlineStr">
        <is>
          <t>L-263</t>
        </is>
      </c>
      <c r="B149" s="27" t="inlineStr">
        <is>
          <t>A</t>
        </is>
      </c>
      <c r="C149" s="27" t="inlineStr">
        <is>
          <t>A-12</t>
        </is>
      </c>
      <c r="D149" s="29">
        <f>IFERROR(INDEX(Реестр!$C:$C,MATCH(C149,Реестр!$A:$A,0)),"⚠ нет в реестре")</f>
        <v/>
      </c>
      <c r="E149" s="27" t="inlineStr">
        <is>
          <t>Ссылка «Профиль мастера →»</t>
        </is>
      </c>
      <c r="F149" s="27" t="inlineStr">
        <is>
          <t>Переход</t>
        </is>
      </c>
      <c r="G149" s="27" t="inlineStr">
        <is>
          <t>PUB-05</t>
        </is>
      </c>
      <c r="H149" s="29">
        <f>IF(G149="ANCHOR","Прокрутка к секции",IF(G149="EXT","Внешняя ссылка",IF(G149="PARENT","Вернуться туда, откуда открыто",IFERROR(INDEX(Реестр!$C:$C,MATCH(G149,Реестр!$A:$A,0)),"⚠ нет в реестре"))))</f>
        <v/>
      </c>
      <c r="I149" s="27" t="inlineStr">
        <is>
          <t>Опубликованные фото — в блоке «Работы мастера»</t>
        </is>
      </c>
      <c r="J149" s="28" t="inlineStr">
        <is>
          <t>Связано</t>
        </is>
      </c>
      <c r="K149" s="27" t="inlineStr">
        <is>
          <t>Добавлено 25.09.2026 вместе с экраном</t>
        </is>
      </c>
    </row>
    <row r="150" ht="23.85" customHeight="1" s="13"/>
    <row r="151" ht="15" customHeight="1" s="13"/>
    <row r="152" ht="15" customHeight="1" s="13"/>
    <row r="153" ht="23.85" customHeight="1" s="13"/>
    <row r="154" ht="15" customHeight="1" s="13"/>
    <row r="155" ht="15" customHeight="1" s="13"/>
    <row r="156" ht="15" customHeight="1" s="13"/>
    <row r="157" ht="15" customHeight="1" s="13"/>
    <row r="158" ht="15" customHeight="1" s="13"/>
    <row r="159" ht="15" customHeight="1" s="13"/>
    <row r="160" ht="23.85" customHeight="1" s="13"/>
    <row r="161" ht="23.85" customHeight="1" s="13"/>
    <row r="162" ht="15" customHeight="1" s="13"/>
    <row r="163" ht="15" customHeight="1" s="13"/>
    <row r="164" ht="15" customHeight="1" s="13"/>
    <row r="165" ht="15" customHeight="1" s="13"/>
    <row r="166" ht="15" customHeight="1" s="13"/>
    <row r="167" ht="15" customHeight="1" s="13"/>
    <row r="168" ht="15" customHeight="1" s="13"/>
    <row r="169" ht="15" customHeight="1" s="13"/>
    <row r="170" ht="15" customHeight="1" s="13"/>
    <row r="171" ht="15" customHeight="1" s="13"/>
    <row r="172" ht="15" customHeight="1" s="13"/>
    <row r="173" ht="15" customHeight="1" s="13"/>
    <row r="174" ht="15" customHeight="1" s="13"/>
    <row r="175" ht="15" customHeight="1" s="13"/>
    <row r="176" ht="15" customHeight="1" s="13"/>
    <row r="177" ht="15" customHeight="1" s="13"/>
    <row r="178" ht="15" customHeight="1" s="13"/>
    <row r="179" ht="15" customHeight="1" s="13"/>
    <row r="180" ht="15" customHeight="1" s="13"/>
    <row r="181" ht="15" customHeight="1" s="13"/>
    <row r="182" ht="15" customHeight="1" s="13"/>
    <row r="183" ht="15" customHeight="1" s="13"/>
    <row r="184" ht="15" customHeight="1" s="13"/>
    <row r="185" ht="15" customHeight="1" s="13"/>
    <row r="186" ht="15" customHeight="1" s="13"/>
    <row r="187" ht="15" customHeight="1" s="13"/>
    <row r="188" ht="15" customHeight="1" s="13"/>
    <row r="189" ht="15" customHeight="1" s="13"/>
    <row r="190" ht="15" customHeight="1" s="13"/>
    <row r="191" ht="15" customHeight="1" s="13"/>
    <row r="192" ht="15" customHeight="1" s="13"/>
    <row r="193" ht="15" customHeight="1" s="13"/>
    <row r="194" ht="23.85" customHeight="1" s="13"/>
    <row r="195" ht="15" customHeight="1" s="13"/>
    <row r="196" ht="15" customHeight="1" s="13"/>
    <row r="197" ht="15" customHeight="1" s="13"/>
    <row r="198" ht="15" customHeight="1" s="13"/>
    <row r="199" ht="23.85" customHeight="1" s="13"/>
    <row r="200" ht="15" customHeight="1" s="13"/>
    <row r="201" ht="23.85" customHeight="1" s="13"/>
    <row r="202" ht="23.85" customHeight="1" s="13"/>
    <row r="203" ht="23.85" customHeight="1" s="13"/>
    <row r="204" ht="23.85" customHeight="1" s="13"/>
    <row r="205" ht="46.25" customHeight="1" s="13"/>
    <row r="206" ht="15" customHeight="1" s="13"/>
    <row r="207" ht="46.25" customHeight="1" s="13"/>
    <row r="208" ht="15" customHeight="1" s="13"/>
    <row r="209" ht="15" customHeight="1" s="13"/>
    <row r="210" ht="15" customHeight="1" s="13"/>
    <row r="211" ht="15" customHeight="1" s="13"/>
    <row r="212" ht="15" customHeight="1" s="13"/>
    <row r="213" ht="15" customHeight="1" s="13"/>
    <row r="214" ht="15" customHeight="1" s="13"/>
    <row r="215" ht="15" customHeight="1" s="13"/>
    <row r="216" ht="15" customHeight="1" s="13"/>
    <row r="217" ht="15" customHeight="1" s="13"/>
    <row r="218" ht="15" customHeight="1" s="13"/>
    <row r="219" ht="15" customHeight="1" s="13"/>
    <row r="220" ht="15" customHeight="1" s="13"/>
    <row r="221" ht="15" customHeight="1" s="13"/>
    <row r="222" ht="15" customHeight="1" s="13"/>
    <row r="223" ht="15" customHeight="1" s="13"/>
    <row r="224" ht="15" customHeight="1" s="13"/>
    <row r="225" ht="15" customHeight="1" s="13"/>
    <row r="226" ht="15" customHeight="1" s="13"/>
    <row r="227" ht="15" customHeight="1" s="13"/>
    <row r="228" ht="15" customHeight="1" s="13"/>
    <row r="229" ht="15" customHeight="1" s="13"/>
    <row r="230" ht="15" customHeight="1" s="13"/>
    <row r="231" ht="15" customHeight="1" s="13"/>
    <row r="232" ht="15" customHeight="1" s="13"/>
    <row r="233" ht="15" customHeight="1" s="13"/>
    <row r="234" ht="15" customHeight="1" s="13"/>
    <row r="235" ht="15" customHeight="1" s="13"/>
    <row r="236" ht="15" customHeight="1" s="13"/>
    <row r="237" ht="15" customHeight="1" s="13"/>
    <row r="238" ht="15" customHeight="1" s="13"/>
    <row r="239" ht="15" customHeight="1" s="13"/>
    <row r="240" ht="15" customHeight="1" s="13"/>
    <row r="241" ht="15" customHeight="1" s="13"/>
    <row r="242" ht="15" customHeight="1" s="13"/>
    <row r="243" ht="15" customHeight="1" s="13"/>
    <row r="244" ht="15" customHeight="1" s="13"/>
    <row r="245" ht="15" customHeight="1" s="13"/>
    <row r="246" ht="15" customHeight="1" s="13"/>
    <row r="247" ht="15" customHeight="1" s="13"/>
    <row r="248" ht="15" customHeight="1" s="13"/>
    <row r="249" ht="15" customHeight="1" s="13"/>
    <row r="250" ht="15" customHeight="1" s="13"/>
    <row r="251" ht="15" customHeight="1" s="13"/>
    <row r="252" ht="15" customHeight="1" s="13"/>
    <row r="253" ht="15" customHeight="1" s="13"/>
    <row r="254" ht="15" customHeight="1" s="13"/>
  </sheetData>
  <autoFilter ref="A1:K149"/>
  <conditionalFormatting sqref="H2:H1000">
    <cfRule type="expression" rank="0" priority="2" equalAverage="0" aboveAverage="0" dxfId="5" text="" percent="0" bottom="0">
      <formula>LEFT(H2,1)="⚠"</formula>
    </cfRule>
  </conditionalFormatting>
  <conditionalFormatting sqref="D2:D1000">
    <cfRule type="expression" rank="0" priority="3" equalAverage="0" aboveAverage="0" dxfId="5" text="" percent="0" bottom="0">
      <formula>LEFT(D2,1)="⚠"</formula>
    </cfRule>
  </conditionalFormatting>
  <dataValidations count="2">
    <dataValidation sqref="J2:J1000" showDropDown="0" showInputMessage="0" showErrorMessage="0" allowBlank="1" type="list" errorStyle="stop" operator="between">
      <formula1>"Не связано,Связано,Нет элемента,Требует решения,Не нужно"</formula1>
      <formula2>0</formula2>
    </dataValidation>
    <dataValidation sqref="F2:F1000" showDropDown="0" showInputMessage="0" showErrorMessage="0" allowBlank="1" type="list" errorStyle="stop" operator="between">
      <formula1>"Переход,Назад,Модалка,Шторка,Панель,Поповер,Закрыть оверлей,Внешняя ссылка,?"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14" customWidth="1" style="12" min="2" max="2"/>
    <col width="34" customWidth="1" style="12" min="3" max="3"/>
    <col width="90" customWidth="1" style="12" min="4" max="4"/>
    <col width="18" customWidth="1" style="12" min="5" max="5"/>
    <col width="70" customWidth="1" style="12" min="6" max="6"/>
  </cols>
  <sheetData>
    <row r="1" ht="31.5" customHeight="1" s="13">
      <c r="A1" s="25" t="inlineStr">
        <is>
          <t>№</t>
        </is>
      </c>
      <c r="B1" s="25" t="inlineStr">
        <is>
          <t>Роль</t>
        </is>
      </c>
      <c r="C1" s="25" t="inlineStr">
        <is>
          <t>Сценарий</t>
        </is>
      </c>
      <c r="D1" s="25" t="inlineStr">
        <is>
          <t>Путь (ID)</t>
        </is>
      </c>
      <c r="E1" s="25" t="inlineStr">
        <is>
          <t>Результат прогона</t>
        </is>
      </c>
      <c r="F1" s="25" t="inlineStr">
        <is>
          <t>Где обрывается</t>
        </is>
      </c>
    </row>
    <row r="2" ht="23.85" customHeight="1" s="13">
      <c r="A2" s="27" t="n">
        <v>1</v>
      </c>
      <c r="B2" s="27" t="inlineStr">
        <is>
          <t>Клиент</t>
        </is>
      </c>
      <c r="C2" s="27" t="inlineStr">
        <is>
          <t>Запись с лендинга без авторизации</t>
        </is>
      </c>
      <c r="D2" s="27" t="inlineStr">
        <is>
          <t>PUB-01 → BOOK-01 → BOOK-02 → BOOK-03 → AUTH-01 → BOOK-04 → BOOK-05 → CAB-01</t>
        </is>
      </c>
      <c r="E2" s="28" t="inlineStr">
        <is>
          <t>Проходит</t>
        </is>
      </c>
      <c r="F2" s="28" t="inlineStr">
        <is>
          <t>Вход по коду: AUTH-01 → AUTH-02 → BOOK-04. Новый клиент: AUTH-01 → AUTH-03 → AUTH-02 → BOOK-04</t>
        </is>
      </c>
    </row>
    <row r="3" ht="23.85" customHeight="1" s="13">
      <c r="A3" s="27" t="n">
        <v>2</v>
      </c>
      <c r="B3" s="27" t="inlineStr">
        <is>
          <t>Клиент</t>
        </is>
      </c>
      <c r="C3" s="27" t="inlineStr">
        <is>
          <t>Запись из профиля мастера (шаг «Мастер» пропускается)</t>
        </is>
      </c>
      <c r="D3" s="27" t="inlineStr">
        <is>
          <t>PUB-01 → PUB-05 → BOOK-01 → BOOK-03 → BOOK-04 → BOOK-05</t>
        </is>
      </c>
      <c r="E3" s="28" t="inlineStr">
        <is>
          <t>Проходит</t>
        </is>
      </c>
      <c r="F3" s="28" t="inlineStr">
        <is>
          <t>Авторизованным. Иначе после BOOK-03 → AUTH-01 → BOOK-04</t>
        </is>
      </c>
    </row>
    <row r="4" ht="15" customHeight="1" s="13">
      <c r="A4" s="27" t="n">
        <v>3</v>
      </c>
      <c r="B4" s="27" t="inlineStr">
        <is>
          <t>Клиент</t>
        </is>
      </c>
      <c r="C4" s="27" t="inlineStr">
        <is>
          <t>Перенос записи</t>
        </is>
      </c>
      <c r="D4" s="27" t="inlineStr">
        <is>
          <t>CAB-01 → CAB-03 → CAB-04 → CAB-03 → CAB-01</t>
        </is>
      </c>
      <c r="E4" s="28" t="inlineStr">
        <is>
          <t>Проходит</t>
        </is>
      </c>
      <c r="F4" s="28" t="inlineStr">
        <is>
          <t>CAB-04 → «Запись перенесена» → «К записи» → CAB-03; CAB-03 → CAB-01 через меню кабинета</t>
        </is>
      </c>
    </row>
    <row r="5" ht="15" customHeight="1" s="13">
      <c r="A5" s="27" t="n">
        <v>4</v>
      </c>
      <c r="B5" s="27" t="inlineStr">
        <is>
          <t>Клиент</t>
        </is>
      </c>
      <c r="C5" s="27" t="inlineStr">
        <is>
          <t>Отмена записи и выход</t>
        </is>
      </c>
      <c r="D5" s="27" t="inlineStr">
        <is>
          <t>CAB-01 → CAB-03 → CAB-05 → CAB-01 → [меню: Выйти] → PUB-01</t>
        </is>
      </c>
      <c r="E5" s="28" t="inlineStr">
        <is>
          <t>Проходит</t>
        </is>
      </c>
      <c r="F5" s="28" t="inlineStr">
        <is>
          <t>CAB-05 → «Запись отменена» → «Закрыть» → CAB-01 → «Выйти» → лендинг</t>
        </is>
      </c>
    </row>
    <row r="6" ht="15" customHeight="1" s="13">
      <c r="A6" s="27" t="n">
        <v>5</v>
      </c>
      <c r="B6" s="27" t="inlineStr">
        <is>
          <t>Администратор</t>
        </is>
      </c>
      <c r="C6" s="27" t="inlineStr">
        <is>
          <t>Создание записи</t>
        </is>
      </c>
      <c r="D6" s="27" t="inlineStr">
        <is>
          <t>A-01 → A-02 → A-01</t>
        </is>
      </c>
      <c r="E6" s="28" t="inlineStr">
        <is>
          <t>Проходит</t>
        </is>
      </c>
      <c r="F6" s="28" t="n"/>
    </row>
    <row r="7" ht="15" customHeight="1" s="13">
      <c r="A7" s="27" t="n">
        <v>6</v>
      </c>
      <c r="B7" s="27" t="inlineStr">
        <is>
          <t>Администратор</t>
        </is>
      </c>
      <c r="C7" s="27" t="inlineStr">
        <is>
          <t>Отмена записи</t>
        </is>
      </c>
      <c r="D7" s="27" t="inlineStr">
        <is>
          <t>A-01 → A-03 → A-05 → A-01</t>
        </is>
      </c>
      <c r="E7" s="28" t="inlineStr">
        <is>
          <t>Проходит</t>
        </is>
      </c>
      <c r="F7" s="28" t="inlineStr">
        <is>
          <t>Освободившееся время сразу видно в шахматке</t>
        </is>
      </c>
    </row>
    <row r="8" ht="15" customHeight="1" s="13">
      <c r="A8" s="27" t="n">
        <v>7</v>
      </c>
      <c r="B8" s="27" t="inlineStr">
        <is>
          <t>Администратор</t>
        </is>
      </c>
      <c r="C8" s="27" t="inlineStr">
        <is>
          <t>Вход и выход администратора</t>
        </is>
      </c>
      <c r="D8" s="27" t="inlineStr">
        <is>
          <t>PUB-01 → [подвал: Вход для сотрудников] → AUTH-04 → A-01 → [меню «Администратор»: Выход] → AUTH-04</t>
        </is>
      </c>
      <c r="E8" s="28" t="inlineStr">
        <is>
          <t>Проходит</t>
        </is>
      </c>
      <c r="F8" s="28" t="n"/>
    </row>
    <row r="9" ht="15" customHeight="1" s="13">
      <c r="A9" s="27" t="n">
        <v>8</v>
      </c>
      <c r="B9" s="27" t="inlineStr">
        <is>
          <t>Администратор</t>
        </is>
      </c>
      <c r="C9" s="27" t="inlineStr">
        <is>
          <t>Шахматка на неделю</t>
        </is>
      </c>
      <c r="D9" s="27" t="inlineStr">
        <is>
          <t>A-01 → [Неделя] → A-01w → A-03 → A-01w → [Чт, 24] → A-01</t>
        </is>
      </c>
      <c r="E9" s="28" t="inlineStr">
        <is>
          <t>Проходит</t>
        </is>
      </c>
      <c r="F9" s="28" t="n"/>
    </row>
    <row r="10" ht="15" customHeight="1" s="13">
      <c r="A10" s="27" t="n">
        <v>9</v>
      </c>
      <c r="B10" s="27" t="inlineStr">
        <is>
          <t>Администратор</t>
        </is>
      </c>
      <c r="C10" s="27" t="inlineStr">
        <is>
          <t>Изменение услуги</t>
        </is>
      </c>
      <c r="D10" s="27" t="inlineStr">
        <is>
          <t>A-01 → [меню: Услуги] → A-23 → A-24 → [Сохранить] → A-23</t>
        </is>
      </c>
      <c r="E10" s="28" t="inlineStr">
        <is>
          <t>Проходит</t>
        </is>
      </c>
      <c r="F10" s="28" t="n"/>
    </row>
    <row r="11" ht="15" customHeight="1" s="13">
      <c r="A11" s="27" t="n">
        <v>10</v>
      </c>
      <c r="B11" s="27" t="inlineStr">
        <is>
          <t>Администратор</t>
        </is>
      </c>
      <c r="C11" s="27" t="inlineStr">
        <is>
          <t>Особый день студии (санитарный день)</t>
        </is>
      </c>
      <c r="D11" s="27" t="inlineStr">
        <is>
          <t>A-01 → [меню: Мастера] → A-19 → A-20 → A-20d → [Добавить день] → A-20</t>
        </is>
      </c>
      <c r="E11" s="28" t="inlineStr">
        <is>
          <t>Проходит</t>
        </is>
      </c>
      <c r="F11" s="28" t="inlineStr">
        <is>
          <t>Проверено 25.09.2026: закрытие 25 сентября показывает 4 записи, требующие решения</t>
        </is>
      </c>
    </row>
    <row r="12" ht="15" customHeight="1" s="13">
      <c r="A12" s="27" t="n">
        <v>11</v>
      </c>
      <c r="B12" s="27" t="inlineStr">
        <is>
          <t>Администратор</t>
        </is>
      </c>
      <c r="C12" s="27" t="inlineStr">
        <is>
          <t>Новый график мастера с даты</t>
        </is>
      </c>
      <c r="D12" s="27" t="inlineStr">
        <is>
          <t>A-19 → A-22 → A-22p → [Сохранить график] → A-22</t>
        </is>
      </c>
      <c r="E12" s="28" t="inlineStr">
        <is>
          <t>Проходит</t>
        </is>
      </c>
      <c r="F12" s="28" t="inlineStr">
        <is>
          <t>Проверено 25.09.2026: график ср–сб 11:00–18:00 с 25 сентября показывает запись, которая в него не попадает</t>
        </is>
      </c>
    </row>
    <row r="13" ht="15" customHeight="1" s="13">
      <c r="A13" s="27" t="n">
        <v>12</v>
      </c>
      <c r="B13" s="27" t="inlineStr">
        <is>
          <t>Администратор</t>
        </is>
      </c>
      <c r="C13" s="27" t="inlineStr">
        <is>
          <t>Фото работ после визита и публикация</t>
        </is>
      </c>
      <c r="D13" s="27" t="inlineStr">
        <is>
          <t>A-01 → A-03 → A-12 → [Профиль мастера] → PUB-05</t>
        </is>
      </c>
      <c r="E13" s="28" t="inlineStr">
        <is>
          <t>Проходит</t>
        </is>
      </c>
      <c r="F13" s="28" t="inlineStr">
        <is>
          <t>Второй вход: A-09 → A-12. Без согласия клиента публикация блокируется</t>
        </is>
      </c>
    </row>
  </sheetData>
  <dataValidations count="1">
    <dataValidation sqref="E2:E100" showDropDown="0" showInputMessage="0" showErrorMessage="0" allowBlank="1" type="list" errorStyle="stop" operator="between">
      <formula1>"Не проверено,Проходит,Обрывается"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40" customWidth="1" style="12" min="2" max="2"/>
    <col width="70" customWidth="1" style="12" min="3" max="3"/>
    <col width="24" customWidth="1" style="12" min="4" max="4"/>
    <col width="40" customWidth="1" style="12" min="5" max="5"/>
    <col width="70" customWidth="1" style="13" min="6" max="6"/>
  </cols>
  <sheetData>
    <row r="1" ht="31.5" customHeight="1" s="13">
      <c r="A1" s="25" t="inlineStr">
        <is>
          <t>№</t>
        </is>
      </c>
      <c r="B1" s="25" t="inlineStr">
        <is>
          <t>Вопрос</t>
        </is>
      </c>
      <c r="C1" s="25" t="inlineStr">
        <is>
          <t>Суть</t>
        </is>
      </c>
      <c r="D1" s="25" t="inlineStr">
        <is>
          <t>Когда решить</t>
        </is>
      </c>
      <c r="E1" s="25" t="inlineStr">
        <is>
          <t>Решение</t>
        </is>
      </c>
      <c r="F1" s="25" t="inlineStr">
        <is>
          <t>Что в прототипе</t>
        </is>
      </c>
    </row>
    <row r="2" ht="23.85" customHeight="1" s="13">
      <c r="A2" s="27" t="n">
        <v>1</v>
      </c>
      <c r="B2" s="27" t="inlineStr">
        <is>
          <t>Вход сотрудника</t>
        </is>
      </c>
      <c r="C2" s="27" t="inlineStr">
        <is>
          <t>Единственный путь на AUTH-04 в карте — ссылка в подвале лендинга. Если её нет, страница останется без входящих переходов: сотрудники заходят по прямому адресу. Это допустимо, но в прототипе нужен способ туда попасть для показа.</t>
        </is>
      </c>
      <c r="D2" s="27" t="inlineStr">
        <is>
          <t>Проверить подвал</t>
        </is>
      </c>
      <c r="E2" s="28" t="inlineStr">
        <is>
          <t>Решено 25.09.2026: ссылка «Вход для сотрудников» добавлена в подвал лендинга</t>
        </is>
      </c>
      <c r="F2" s="27" t="inlineStr">
        <is>
          <t>Ссылка в подвале → #/staff/login</t>
        </is>
      </c>
    </row>
    <row r="3" ht="23.85" customHeight="1" s="13">
      <c r="A3" s="27" t="n">
        <v>2</v>
      </c>
      <c r="B3" s="27" t="inlineStr">
        <is>
          <t>Модалка «Слот занят» (BOOK-M1)</t>
        </is>
      </c>
      <c r="C3" s="27" t="inlineStr">
        <is>
          <t>Осталась ли она после появления листа ожидания, или занятый слот сразу ведёт в BOOK-W1.</t>
        </is>
      </c>
      <c r="D3" s="27" t="inlineStr">
        <is>
          <t>Сверка реестра</t>
        </is>
      </c>
      <c r="E3" s="28" t="n"/>
      <c r="F3" s="27" t="inlineStr">
        <is>
          <t>Модалка осталась, но открывается с BOOK-04 при подтверждении (сценарий «Слот заняли»), с альтернативами и «Выбрать другое время»</t>
        </is>
      </c>
    </row>
    <row r="4" ht="46.25" customHeight="1" s="13">
      <c r="A4" s="27" t="n">
        <v>3</v>
      </c>
      <c r="B4" s="27" t="inlineStr">
        <is>
          <t>Пропуск шага «Мастер»</t>
        </is>
      </c>
      <c r="C4" s="27" t="inlineStr">
        <is>
          <t>Вход из профиля мастера пропускает шаг 2. В прототипе кнопка «Далее» на шаге услуг не может вести в два места — выбрать демо-ветку.</t>
        </is>
      </c>
      <c r="D4" s="27" t="inlineStr">
        <is>
          <t>Решить до блока BOOK</t>
        </is>
      </c>
      <c r="E4" s="28" t="n"/>
      <c r="F4" s="27" t="inlineStr">
        <is>
          <t>Решено в прототипе: при закреплённом мастере «Далее» ведёт сразу на BOOK-03</t>
        </is>
      </c>
    </row>
    <row r="5" ht="23.85" customHeight="1" s="13">
      <c r="A5" s="27" t="n">
        <v>4</v>
      </c>
      <c r="B5" s="27" t="inlineStr">
        <is>
          <t>Корзина визита на шаге услуг</t>
        </is>
      </c>
      <c r="C5" s="27" t="inlineStr">
        <is>
          <t>Мультивыбор внутри страницы переходом не является. Уточнить, есть ли отдельный экран или шторка корзины.</t>
        </is>
      </c>
      <c r="D5" s="27" t="inlineStr">
        <is>
          <t>Сверка реестра</t>
        </is>
      </c>
      <c r="E5" s="28" t="n"/>
      <c r="F5" s="27" t="inlineStr">
        <is>
          <t>Отдельного экрана нет: корзина — плашка внизу BOOK-01, раскрывается по клику</t>
        </is>
      </c>
    </row>
    <row r="6" ht="23.85" customHeight="1" s="13">
      <c r="A6" s="27" t="n">
        <v>5</v>
      </c>
      <c r="B6" s="27" t="inlineStr">
        <is>
          <t>Перенос записи (CAB-04)</t>
        </is>
      </c>
      <c r="C6" s="27" t="inlineStr">
        <is>
          <t>Страница без меню кабинета: единственный выход — кнопки «Подтвердить» и «Назад». Проверить, что обе связаны, иначе страница станет тупиком.</t>
        </is>
      </c>
      <c r="D6" s="27" t="inlineStr">
        <is>
          <t>Блок CAB</t>
        </is>
      </c>
      <c r="E6" s="28" t="n"/>
      <c r="F6" s="27" t="inlineStr">
        <is>
          <t>Обе связаны: «Отмена»/«Назад» → CAB-03, «Подтвердить» → экран успеха → «К записи» → CAB-03</t>
        </is>
      </c>
    </row>
    <row r="7" ht="23.85" customHeight="1" s="13">
      <c r="A7" s="27" t="n">
        <v>6</v>
      </c>
      <c r="B7" s="27" t="inlineStr">
        <is>
          <t>Меню аккаунта в шапке лендинга</t>
        </is>
      </c>
      <c r="C7" s="27" t="inlineStr">
        <is>
          <t>Три пункта: Мои записи, Профиль, Выйти. «Уведомления» и «Избранные мастера» доступны только из меню кабинета — проверить, что это осознанно.</t>
        </is>
      </c>
      <c r="D7" s="27" t="inlineStr">
        <is>
          <t>Проверить</t>
        </is>
      </c>
      <c r="E7" s="28" t="n"/>
      <c r="F7" s="27" t="inlineStr">
        <is>
          <t>Меню аккаунта: Мои записи, Профиль, Выйти. Уведомлений и избранных мастеров в продукте нет (по паспорту)</t>
        </is>
      </c>
    </row>
    <row r="8" ht="23.85" customHeight="1" s="13">
      <c r="A8" s="27" t="n">
        <v>7</v>
      </c>
      <c r="B8" s="27" t="inlineStr">
        <is>
          <t>Условные переходы</t>
        </is>
      </c>
      <c r="C8" s="27" t="inlineStr">
        <is>
          <t>Прототип не ветвится по данным: вход с одной или двумя ролями, новый или существующий клиент, успех или ошибка записи, пропуск шага мастера. Для каждой такой кнопки выбрать одну демо-ветку.</t>
        </is>
      </c>
      <c r="D8" s="27" t="inlineStr">
        <is>
          <t>Решить до блоков AUTH и BOOK</t>
        </is>
      </c>
      <c r="E8" s="28" t="n"/>
      <c r="F8" s="27" t="inlineStr">
        <is>
          <t>Ветвление сделано через панель разработчика: «Авторизован / Не авторизован» и сценарии записи (обычный, слот заняли, ошибка сервера, нет интернета, сессия истекла, новый клиент)</t>
        </is>
      </c>
    </row>
    <row r="9" ht="23.85" customHeight="1" s="13">
      <c r="A9" s="27" t="n">
        <v>8</v>
      </c>
      <c r="B9" s="27" t="inlineStr">
        <is>
          <t>«Неявка» в поповере администратора</t>
        </is>
      </c>
      <c r="C9" s="27" t="inlineStr">
        <is>
          <t>В промпте поповера такого пункта не было, диалог неявки A-06 может оказаться недостижимым.</t>
        </is>
      </c>
      <c r="D9" s="27" t="inlineStr">
        <is>
          <t>Проверить A-03</t>
        </is>
      </c>
      <c r="E9" s="28" t="n"/>
      <c r="F9" s="27" t="inlineStr">
        <is>
          <t>«Отметить неявку» в поповере есть — A-06 достижим</t>
        </is>
      </c>
    </row>
    <row r="10" ht="23.85" customHeight="1" s="13">
      <c r="A10" s="27" t="n">
        <v>9</v>
      </c>
      <c r="B10" s="27" t="inlineStr">
        <is>
          <t>Служебные страницы и демо-состояния</t>
        </is>
      </c>
      <c r="C10" s="27" t="inlineStr">
        <is>
          <t>На них нет естественного входа — они возникают по событию. Решить, нужны ли демо-входы для показа прототипа.</t>
        </is>
      </c>
      <c r="D10" s="27" t="inlineStr">
        <is>
          <t>Решить до блока SYS</t>
        </is>
      </c>
      <c r="E10" s="28" t="n"/>
      <c r="F10" s="27" t="inlineStr">
        <is>
          <t>Демо-входы есть: «Карта прототипа» → «Ключевые состояния» и галерея состояний #/staff/states-gallery</t>
        </is>
      </c>
    </row>
    <row r="11" ht="35.05" customHeight="1" s="13"/>
    <row r="12" ht="23.85" customHeight="1" s="13"/>
    <row r="13" ht="23.85" customHeight="1" s="13"/>
    <row r="14" ht="23.85" customHeight="1" s="13"/>
    <row r="15" ht="23.85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2026-09-22T19:56:41Z</dcterms:created>
  <dcterms:modified xsi:type="dcterms:W3CDTF">2026-09-25T18:47:13Z</dcterms:modified>
  <cp:revision>0</cp:revision>
</cp:coreProperties>
</file>