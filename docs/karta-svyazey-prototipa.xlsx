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Сводка" sheetId="2" state="visible" r:id="rId4"/>
    <sheet name="Реестр" sheetId="3" state="visible" r:id="rId5"/>
    <sheet name="Навигация" sheetId="4" state="visible" r:id="rId6"/>
    <sheet name="Связи" sheetId="5" state="visible" r:id="rId7"/>
    <sheet name="Сценарии" sheetId="6" state="visible" r:id="rId8"/>
    <sheet name="Вопросы" sheetId="7" state="visible" r:id="rId9"/>
  </sheets>
  <definedNames>
    <definedName function="false" hidden="true" localSheetId="3" name="_xlnm._FilterDatabase" vbProcedure="false">Навигация!$A$1:$J$54</definedName>
    <definedName function="false" hidden="true" localSheetId="2" name="_xlnm._FilterDatabase" vbProcedure="false">Реестр!$A$1:$M$96</definedName>
    <definedName function="false" hidden="true" localSheetId="4" name="_xlnm._FilterDatabase" vbProcedure="false">Связи!$A$1:$J$210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<sst xmlns="http://schemas.openxmlformats.org/spreadsheetml/2006/main" count="2795" uniqueCount="863">
  <si>
    <t xml:space="preserve">Карта связей прототипа — фаза 0</t>
  </si>
  <si>
    <t xml:space="preserve">Что это</t>
  </si>
  <si>
    <t xml:space="preserve">Эталонная карта переходов: как экраны должны быть связаны. Кабинеты мастера и администратора собраны по спроектированным экранам, клиентская часть — по результатам сверки с проектом (лендинг с якорным меню, четыре шага записи без предоплаты, кабинет из пяти пунктов).</t>
  </si>
  <si>
    <t xml:space="preserve">Листы</t>
  </si>
  <si>
    <t xml:space="preserve">Реестр — все страницы, модалки, шторки и состояния с ID. Колонки «Исходящих», «Входящих» и «Проверка» считаются автоматически.</t>
  </si>
  <si>
    <t xml:space="preserve">Навигация — повторяющиеся элементы: шапки, подвал, меню, таб-бар, переключатель ролей.</t>
  </si>
  <si>
    <t xml:space="preserve">Связи — переходы внутри содержимого страниц, по блокам.</t>
  </si>
  <si>
    <t xml:space="preserve">Сценарии — сквозные пути для финальной проверки.</t>
  </si>
  <si>
    <t xml:space="preserve">Вопросы — что нужно решить до связывания.</t>
  </si>
  <si>
    <t xml:space="preserve">Сводка — счётчики по блокам: сироты, тупики, прогресс.</t>
  </si>
  <si>
    <t xml:space="preserve">Цвета</t>
  </si>
  <si>
    <t xml:space="preserve">Жёлтые ячейки заполняете вы: название в проекте, статус сверки, статус применения.</t>
  </si>
  <si>
    <t xml:space="preserve">Серо-голубые ячейки — формулы, не редактировать.</t>
  </si>
  <si>
    <t xml:space="preserve">Спецзначения в колонке «Куда»</t>
  </si>
  <si>
    <t xml:space="preserve">EXT — внешняя ссылка (телефон, карта, соцсети). ANCHOR — прокрутка к секции внутри лендинга, а не переход. PARENT — закрыть оверлей и вернуться туда, откуда он открыт. Пустое значение с действием «?» — назначение не определено, см. «Вопросы».</t>
  </si>
  <si>
    <t xml:space="preserve">Порядок работы</t>
  </si>
  <si>
    <t xml:space="preserve">1. Сверьте реестр с проектом в Claude Design (промпт сверки — в ответе в чате). Заполните «Название в проекте» и «Сверка».</t>
  </si>
  <si>
    <t xml:space="preserve">2. Если в проекте другие экраны — добавьте строки в реестр, удалите лишние. Формулы подсветят связи, ведущие на ID, которых нет в реестре.</t>
  </si>
  <si>
    <t xml:space="preserve">3. Закройте «Вопросы».</t>
  </si>
  <si>
    <t xml:space="preserve">4. В промпты связывания вставляйте строки нужного блока с листов «Навигация» и «Связи» (фильтр по колонке «Блок» или «Набор»).</t>
  </si>
  <si>
    <t xml:space="preserve">5. После каждого блока отмечайте «Статус» в листе «Связи». Сводка покажет прогресс.</t>
  </si>
  <si>
    <t xml:space="preserve">Как читать «Проверку» в реестре</t>
  </si>
  <si>
    <t xml:space="preserve">⚠ сирота — на страницу никто не ведёт. ⚠ тупик — со страницы некуда уйти. «демо / вход по событию» — состояние или служебная страница без естественного входа, это допустимо. «вне графа» — дизайн-система.</t>
  </si>
  <si>
    <t xml:space="preserve">Блок</t>
  </si>
  <si>
    <t xml:space="preserve">Страниц</t>
  </si>
  <si>
    <t xml:space="preserve">Связей из блока</t>
  </si>
  <si>
    <t xml:space="preserve">Связано</t>
  </si>
  <si>
    <t xml:space="preserve">Нет элемента</t>
  </si>
  <si>
    <t xml:space="preserve">Требует решения</t>
  </si>
  <si>
    <t xml:space="preserve">Сирот</t>
  </si>
  <si>
    <t xml:space="preserve">Тупиков</t>
  </si>
  <si>
    <t xml:space="preserve">Не сверено</t>
  </si>
  <si>
    <t xml:space="preserve">PUB</t>
  </si>
  <si>
    <t xml:space="preserve">AUTH</t>
  </si>
  <si>
    <t xml:space="preserve">BOOK</t>
  </si>
  <si>
    <t xml:space="preserve">CAB</t>
  </si>
  <si>
    <t xml:space="preserve">M</t>
  </si>
  <si>
    <t xml:space="preserve">A</t>
  </si>
  <si>
    <t xml:space="preserve">SYS</t>
  </si>
  <si>
    <t xml:space="preserve">DS</t>
  </si>
  <si>
    <t xml:space="preserve">Итого</t>
  </si>
  <si>
    <t xml:space="preserve">Навигация: пунктов всего</t>
  </si>
  <si>
    <t xml:space="preserve">Навигация: связано</t>
  </si>
  <si>
    <t xml:space="preserve">ID</t>
  </si>
  <si>
    <t xml:space="preserve">Название (ожидаемое)</t>
  </si>
  <si>
    <t xml:space="preserve">Тип</t>
  </si>
  <si>
    <t xml:space="preserve">Роль</t>
  </si>
  <si>
    <t xml:space="preserve">Родитель</t>
  </si>
  <si>
    <t xml:space="preserve">Навигация</t>
  </si>
  <si>
    <t xml:space="preserve">Название в проекте</t>
  </si>
  <si>
    <t xml:space="preserve">Сверка</t>
  </si>
  <si>
    <t xml:space="preserve">Исходящих</t>
  </si>
  <si>
    <t xml:space="preserve">Входящих</t>
  </si>
  <si>
    <t xml:space="preserve">Проверка</t>
  </si>
  <si>
    <t xml:space="preserve">Примечание</t>
  </si>
  <si>
    <t xml:space="preserve">PUB-01</t>
  </si>
  <si>
    <t xml:space="preserve">Лендинг (секции: Услуги, Как это работает, Мастера, Работы, Контакты, Отзывы, Призыв записаться)</t>
  </si>
  <si>
    <t xml:space="preserve">Страница</t>
  </si>
  <si>
    <t xml:space="preserve">Клиент</t>
  </si>
  <si>
    <t xml:space="preserve">NAV-LAND</t>
  </si>
  <si>
    <t xml:space="preserve">Точка входа клиента. Якорное меню, отдельных страниц секций нет</t>
  </si>
  <si>
    <t xml:space="preserve">PUB-05</t>
  </si>
  <si>
    <t xml:space="preserve">Профиль мастера (публичный)</t>
  </si>
  <si>
    <t xml:space="preserve">Единственная внутренняя страница публичной части</t>
  </si>
  <si>
    <t xml:space="preserve">AUTH-01</t>
  </si>
  <si>
    <t xml:space="preserve">Вход клиента (номер телефона)</t>
  </si>
  <si>
    <t xml:space="preserve">Сверить</t>
  </si>
  <si>
    <t xml:space="preserve">AUTH-02</t>
  </si>
  <si>
    <t xml:space="preserve">Ввод кода из SMS (клиент)</t>
  </si>
  <si>
    <t xml:space="preserve">AUTH-03</t>
  </si>
  <si>
    <t xml:space="preserve">Регистрация / заполнение профиля</t>
  </si>
  <si>
    <t xml:space="preserve">AUTH-04</t>
  </si>
  <si>
    <t xml:space="preserve">Вход сотрудника</t>
  </si>
  <si>
    <t xml:space="preserve">Сотрудник</t>
  </si>
  <si>
    <t xml:space="preserve">Точка входа сотрудников</t>
  </si>
  <si>
    <t xml:space="preserve">AUTH-05</t>
  </si>
  <si>
    <t xml:space="preserve">Вход сотрудника по коду из SMS</t>
  </si>
  <si>
    <t xml:space="preserve">AUTH-06</t>
  </si>
  <si>
    <t xml:space="preserve">Восстановление пароля</t>
  </si>
  <si>
    <t xml:space="preserve">AUTH-07</t>
  </si>
  <si>
    <t xml:space="preserve">Выбор контекста (мастер / администратор)</t>
  </si>
  <si>
    <t xml:space="preserve">Только для сотрудников с двумя ролями</t>
  </si>
  <si>
    <t xml:space="preserve">BOOK-01</t>
  </si>
  <si>
    <t xml:space="preserve">Шаг 1. Услуги (мультивыбор, корзина визита)</t>
  </si>
  <si>
    <t xml:space="preserve">NAV-BOOK</t>
  </si>
  <si>
    <t xml:space="preserve">Если вход из профиля мастера — мастер уже выбран</t>
  </si>
  <si>
    <t xml:space="preserve">BOOK-02</t>
  </si>
  <si>
    <t xml:space="preserve">Шаг 2. Мастер</t>
  </si>
  <si>
    <t xml:space="preserve">BOOK-03</t>
  </si>
  <si>
    <t xml:space="preserve">Шаг 3. Время</t>
  </si>
  <si>
    <t xml:space="preserve">Есть вход в лист ожидания</t>
  </si>
  <si>
    <t xml:space="preserve">BOOK-04</t>
  </si>
  <si>
    <t xml:space="preserve">Шаг 4. Подтверждение</t>
  </si>
  <si>
    <t xml:space="preserve">BOOK-05</t>
  </si>
  <si>
    <t xml:space="preserve">Успех</t>
  </si>
  <si>
    <t xml:space="preserve">Итоговый экран записи</t>
  </si>
  <si>
    <t xml:space="preserve">BOOK-06</t>
  </si>
  <si>
    <t xml:space="preserve">Ошибка</t>
  </si>
  <si>
    <t xml:space="preserve">BOOK-W1</t>
  </si>
  <si>
    <t xml:space="preserve">Лист ожидания (форма клиента)</t>
  </si>
  <si>
    <t xml:space="preserve">Модалка</t>
  </si>
  <si>
    <t xml:space="preserve">Открывается с шага «Время»</t>
  </si>
  <si>
    <t xml:space="preserve">BOOK-M1</t>
  </si>
  <si>
    <t xml:space="preserve">Слот занят</t>
  </si>
  <si>
    <t xml:space="preserve">Сверить: возможно, заменён листом ожидания</t>
  </si>
  <si>
    <t xml:space="preserve">CAB-01</t>
  </si>
  <si>
    <t xml:space="preserve">Мои записи</t>
  </si>
  <si>
    <t xml:space="preserve">NAV-CAB</t>
  </si>
  <si>
    <t xml:space="preserve">CAB-02</t>
  </si>
  <si>
    <t xml:space="preserve">История</t>
  </si>
  <si>
    <t xml:space="preserve">CAB-03</t>
  </si>
  <si>
    <t xml:space="preserve">Карточка записи</t>
  </si>
  <si>
    <t xml:space="preserve">CAB-04</t>
  </si>
  <si>
    <t xml:space="preserve">Перенос записи</t>
  </si>
  <si>
    <t xml:space="preserve">Отдельная страница без меню кабинета</t>
  </si>
  <si>
    <t xml:space="preserve">CAB-05</t>
  </si>
  <si>
    <t xml:space="preserve">Отмена записи</t>
  </si>
  <si>
    <t xml:space="preserve">CAB-06</t>
  </si>
  <si>
    <t xml:space="preserve">Отзыв о визите</t>
  </si>
  <si>
    <t xml:space="preserve">Открывается из истории</t>
  </si>
  <si>
    <t xml:space="preserve">CAB-07</t>
  </si>
  <si>
    <t xml:space="preserve">Профиль</t>
  </si>
  <si>
    <t xml:space="preserve">CAB-08</t>
  </si>
  <si>
    <t xml:space="preserve">Уведомления</t>
  </si>
  <si>
    <t xml:space="preserve">Пункт верхнего уровня</t>
  </si>
  <si>
    <t xml:space="preserve">CAB-09</t>
  </si>
  <si>
    <t xml:space="preserve">Избранные мастера</t>
  </si>
  <si>
    <t xml:space="preserve">M-01</t>
  </si>
  <si>
    <t xml:space="preserve">Сегодня</t>
  </si>
  <si>
    <t xml:space="preserve">Мастер</t>
  </si>
  <si>
    <t xml:space="preserve">NAV-M</t>
  </si>
  <si>
    <t xml:space="preserve">Главный экран мастера</t>
  </si>
  <si>
    <t xml:space="preserve">M-02a</t>
  </si>
  <si>
    <t xml:space="preserve">Карточка записи — ожидает подтверждения</t>
  </si>
  <si>
    <t xml:space="preserve">M-02b</t>
  </si>
  <si>
    <t xml:space="preserve">Карточка записи — подтверждена</t>
  </si>
  <si>
    <t xml:space="preserve">M-02c</t>
  </si>
  <si>
    <t xml:space="preserve">Карточка записи — в работе</t>
  </si>
  <si>
    <t xml:space="preserve">M-02d</t>
  </si>
  <si>
    <t xml:space="preserve">Карточка записи — завершена</t>
  </si>
  <si>
    <t xml:space="preserve">M-03</t>
  </si>
  <si>
    <t xml:space="preserve">Завершение визита</t>
  </si>
  <si>
    <t xml:space="preserve">M-04</t>
  </si>
  <si>
    <t xml:space="preserve">Визит завершён (подтверждение)</t>
  </si>
  <si>
    <t xml:space="preserve">M-05</t>
  </si>
  <si>
    <t xml:space="preserve">Календарь</t>
  </si>
  <si>
    <t xml:space="preserve">Блок «Мои заявки» — часть экрана</t>
  </si>
  <si>
    <t xml:space="preserve">M-06</t>
  </si>
  <si>
    <t xml:space="preserve">Шторка действий со свободным слотом</t>
  </si>
  <si>
    <t xml:space="preserve">Шторка</t>
  </si>
  <si>
    <t xml:space="preserve">M-07</t>
  </si>
  <si>
    <t xml:space="preserve">Клиенты (список)</t>
  </si>
  <si>
    <t xml:space="preserve">M-08</t>
  </si>
  <si>
    <t xml:space="preserve">Карточка клиента (ограниченная)</t>
  </si>
  <si>
    <t xml:space="preserve">M-09</t>
  </si>
  <si>
    <t xml:space="preserve">Доходы</t>
  </si>
  <si>
    <t xml:space="preserve">M-10</t>
  </si>
  <si>
    <t xml:space="preserve">Профиль (просмотр)</t>
  </si>
  <si>
    <t xml:space="preserve">M-11</t>
  </si>
  <si>
    <t xml:space="preserve">Профиль (редактирование)</t>
  </si>
  <si>
    <t xml:space="preserve">M-12</t>
  </si>
  <si>
    <t xml:space="preserve">Превью профиля глазами клиента</t>
  </si>
  <si>
    <t xml:space="preserve">M-M1</t>
  </si>
  <si>
    <t xml:space="preserve">Подтверждение неявки</t>
  </si>
  <si>
    <t xml:space="preserve">M-M2</t>
  </si>
  <si>
    <t xml:space="preserve">Предложить перенос</t>
  </si>
  <si>
    <t xml:space="preserve">M-S0</t>
  </si>
  <si>
    <t xml:space="preserve">Сегодня — пустой день</t>
  </si>
  <si>
    <t xml:space="preserve">Состояние</t>
  </si>
  <si>
    <t xml:space="preserve">M-S1</t>
  </si>
  <si>
    <t xml:space="preserve">Оффлайн-режим</t>
  </si>
  <si>
    <t xml:space="preserve">M-S2</t>
  </si>
  <si>
    <t xml:space="preserve">Календарь — пусто</t>
  </si>
  <si>
    <t xml:space="preserve">M-S3</t>
  </si>
  <si>
    <t xml:space="preserve">Клиенты — пусто</t>
  </si>
  <si>
    <t xml:space="preserve">M-S4</t>
  </si>
  <si>
    <t xml:space="preserve">Push на экране блокировки</t>
  </si>
  <si>
    <t xml:space="preserve">M-S5</t>
  </si>
  <si>
    <t xml:space="preserve">Окно редактирования истекло</t>
  </si>
  <si>
    <t xml:space="preserve">A-01</t>
  </si>
  <si>
    <t xml:space="preserve">Шахматка (день)</t>
  </si>
  <si>
    <t xml:space="preserve">Администратор</t>
  </si>
  <si>
    <t xml:space="preserve">NAV-A</t>
  </si>
  <si>
    <t xml:space="preserve">Главный экран администратора</t>
  </si>
  <si>
    <t xml:space="preserve">A-01w</t>
  </si>
  <si>
    <t xml:space="preserve">Шахматка (неделя)</t>
  </si>
  <si>
    <t xml:space="preserve">A-01d</t>
  </si>
  <si>
    <t xml:space="preserve">Шахматка — перетаскивание записи</t>
  </si>
  <si>
    <t xml:space="preserve">A-02</t>
  </si>
  <si>
    <t xml:space="preserve">Панель создания записи</t>
  </si>
  <si>
    <t xml:space="preserve">Панель</t>
  </si>
  <si>
    <t xml:space="preserve">A-02s</t>
  </si>
  <si>
    <t xml:space="preserve">Создание записи — конфликт слота</t>
  </si>
  <si>
    <t xml:space="preserve">A-03</t>
  </si>
  <si>
    <t xml:space="preserve">Поповер записи</t>
  </si>
  <si>
    <t xml:space="preserve">Поповер</t>
  </si>
  <si>
    <t xml:space="preserve">A-04</t>
  </si>
  <si>
    <t xml:space="preserve">Диалог переноса</t>
  </si>
  <si>
    <t xml:space="preserve">A-05</t>
  </si>
  <si>
    <t xml:space="preserve">Диалог отмены</t>
  </si>
  <si>
    <t xml:space="preserve">A-06</t>
  </si>
  <si>
    <t xml:space="preserve">Диалог неявки</t>
  </si>
  <si>
    <t xml:space="preserve">A-07</t>
  </si>
  <si>
    <t xml:space="preserve">A-08</t>
  </si>
  <si>
    <t xml:space="preserve">Быстрый просмотр клиента</t>
  </si>
  <si>
    <t xml:space="preserve">A-09</t>
  </si>
  <si>
    <t xml:space="preserve">Карточка клиента (полная)</t>
  </si>
  <si>
    <t xml:space="preserve">A-10</t>
  </si>
  <si>
    <t xml:space="preserve">Форма клиента (новый / редактирование)</t>
  </si>
  <si>
    <t xml:space="preserve">Может отсутствовать — см. «Вопросы»</t>
  </si>
  <si>
    <t xml:space="preserve">A-11</t>
  </si>
  <si>
    <t xml:space="preserve">В чёрный список</t>
  </si>
  <si>
    <t xml:space="preserve">A-12</t>
  </si>
  <si>
    <t xml:space="preserve">Оплаты (смена)</t>
  </si>
  <si>
    <t xml:space="preserve">A-13</t>
  </si>
  <si>
    <t xml:space="preserve">Диалог «Принять оплату»</t>
  </si>
  <si>
    <t xml:space="preserve">A-14</t>
  </si>
  <si>
    <t xml:space="preserve">Диалог возврата</t>
  </si>
  <si>
    <t xml:space="preserve">A-15</t>
  </si>
  <si>
    <t xml:space="preserve">Закрытие смены</t>
  </si>
  <si>
    <t xml:space="preserve">A-16</t>
  </si>
  <si>
    <t xml:space="preserve">Лист ожидания</t>
  </si>
  <si>
    <t xml:space="preserve">A-17</t>
  </si>
  <si>
    <t xml:space="preserve">Добавить в лист ожидания</t>
  </si>
  <si>
    <t xml:space="preserve">A-18</t>
  </si>
  <si>
    <t xml:space="preserve">Панель «Освободился слот»</t>
  </si>
  <si>
    <t xml:space="preserve">A-19</t>
  </si>
  <si>
    <t xml:space="preserve">Мастера (список)</t>
  </si>
  <si>
    <t xml:space="preserve">A-20</t>
  </si>
  <si>
    <t xml:space="preserve">График смен</t>
  </si>
  <si>
    <t xml:space="preserve">A-21</t>
  </si>
  <si>
    <t xml:space="preserve">Заявки мастеров</t>
  </si>
  <si>
    <t xml:space="preserve">A-22</t>
  </si>
  <si>
    <t xml:space="preserve">Карточка мастера</t>
  </si>
  <si>
    <t xml:space="preserve">A-23</t>
  </si>
  <si>
    <t xml:space="preserve">Услуги (список)</t>
  </si>
  <si>
    <t xml:space="preserve">A-24</t>
  </si>
  <si>
    <t xml:space="preserve">Форма услуги</t>
  </si>
  <si>
    <t xml:space="preserve">A-25</t>
  </si>
  <si>
    <t xml:space="preserve">Сообщения: автоуведомления</t>
  </si>
  <si>
    <t xml:space="preserve">A-26</t>
  </si>
  <si>
    <t xml:space="preserve">Диалог с клиентом</t>
  </si>
  <si>
    <t xml:space="preserve">A-27</t>
  </si>
  <si>
    <t xml:space="preserve">Рассылка</t>
  </si>
  <si>
    <t xml:space="preserve">A-28</t>
  </si>
  <si>
    <t xml:space="preserve">Сотрудники (список)</t>
  </si>
  <si>
    <t xml:space="preserve">Расширенные права</t>
  </si>
  <si>
    <t xml:space="preserve">A-29</t>
  </si>
  <si>
    <t xml:space="preserve">Форма сотрудника</t>
  </si>
  <si>
    <t xml:space="preserve">A-30</t>
  </si>
  <si>
    <t xml:space="preserve">Аналитика (дашборд)</t>
  </si>
  <si>
    <t xml:space="preserve">A-31</t>
  </si>
  <si>
    <t xml:space="preserve">Журнал действий</t>
  </si>
  <si>
    <t xml:space="preserve">A-32</t>
  </si>
  <si>
    <t xml:space="preserve">Требуются расширенные права</t>
  </si>
  <si>
    <t xml:space="preserve">Открывается с элементов с замком</t>
  </si>
  <si>
    <t xml:space="preserve">A-S1</t>
  </si>
  <si>
    <t xml:space="preserve">Запись изменена другим сотрудником</t>
  </si>
  <si>
    <t xml:space="preserve">A-S2</t>
  </si>
  <si>
    <t xml:space="preserve">Ошибка загрузки расписания</t>
  </si>
  <si>
    <t xml:space="preserve">A-S3</t>
  </si>
  <si>
    <t xml:space="preserve">Скелетон загрузки шахматки</t>
  </si>
  <si>
    <t xml:space="preserve">A-S4</t>
  </si>
  <si>
    <t xml:space="preserve">Незакрытые оплаты при закрытии смены</t>
  </si>
  <si>
    <t xml:space="preserve">A-S5</t>
  </si>
  <si>
    <t xml:space="preserve">Расхождение по наличным</t>
  </si>
  <si>
    <t xml:space="preserve">A-S6</t>
  </si>
  <si>
    <t xml:space="preserve">Подтверждение необратимого действия</t>
  </si>
  <si>
    <t xml:space="preserve">SYS-01</t>
  </si>
  <si>
    <t xml:space="preserve">Страница не найдена (404)</t>
  </si>
  <si>
    <t xml:space="preserve">Служебная</t>
  </si>
  <si>
    <t xml:space="preserve">Все</t>
  </si>
  <si>
    <t xml:space="preserve">SYS-02</t>
  </si>
  <si>
    <t xml:space="preserve">Общая ошибка / нет связи</t>
  </si>
  <si>
    <t xml:space="preserve">SYS-03</t>
  </si>
  <si>
    <t xml:space="preserve">Сессия истекла</t>
  </si>
  <si>
    <t xml:space="preserve">SYS-04</t>
  </si>
  <si>
    <t xml:space="preserve">Учётная запись заблокирована</t>
  </si>
  <si>
    <t xml:space="preserve">DS-01</t>
  </si>
  <si>
    <t xml:space="preserve">Дизайн-система</t>
  </si>
  <si>
    <t xml:space="preserve">—</t>
  </si>
  <si>
    <t xml:space="preserve">Вне графа переходов</t>
  </si>
  <si>
    <t xml:space="preserve">Набор</t>
  </si>
  <si>
    <t xml:space="preserve">Элемент</t>
  </si>
  <si>
    <t xml:space="preserve">Пункт</t>
  </si>
  <si>
    <t xml:space="preserve">Действие</t>
  </si>
  <si>
    <t xml:space="preserve">Куда (ID)</t>
  </si>
  <si>
    <t xml:space="preserve">Куда (название)</t>
  </si>
  <si>
    <t xml:space="preserve">Где стоит</t>
  </si>
  <si>
    <t xml:space="preserve">Статус</t>
  </si>
  <si>
    <t xml:space="preserve">N-01</t>
  </si>
  <si>
    <t xml:space="preserve">Шапка лендинга</t>
  </si>
  <si>
    <t xml:space="preserve">Логотип</t>
  </si>
  <si>
    <t xml:space="preserve">Якорь</t>
  </si>
  <si>
    <t xml:space="preserve">ANCHOR</t>
  </si>
  <si>
    <t xml:space="preserve">PUB-01, PUB-05</t>
  </si>
  <si>
    <t xml:space="preserve">С профиля мастера — переход на PUB-01</t>
  </si>
  <si>
    <t xml:space="preserve">Не связано</t>
  </si>
  <si>
    <t xml:space="preserve">N-02</t>
  </si>
  <si>
    <t xml:space="preserve">Услуги</t>
  </si>
  <si>
    <t xml:space="preserve">С PUB-05 — переход на PUB-01 к секции</t>
  </si>
  <si>
    <t xml:space="preserve">N-03</t>
  </si>
  <si>
    <t xml:space="preserve">Как это работает</t>
  </si>
  <si>
    <t xml:space="preserve">N-04</t>
  </si>
  <si>
    <t xml:space="preserve">Мастера</t>
  </si>
  <si>
    <t xml:space="preserve">N-05</t>
  </si>
  <si>
    <t xml:space="preserve">Работы</t>
  </si>
  <si>
    <t xml:space="preserve">N-06</t>
  </si>
  <si>
    <t xml:space="preserve">Контакты</t>
  </si>
  <si>
    <t xml:space="preserve">N-07</t>
  </si>
  <si>
    <t xml:space="preserve">Записаться</t>
  </si>
  <si>
    <t xml:space="preserve">Переход</t>
  </si>
  <si>
    <t xml:space="preserve">N-08</t>
  </si>
  <si>
    <t xml:space="preserve">Войти</t>
  </si>
  <si>
    <t xml:space="preserve">Для неавторизованного</t>
  </si>
  <si>
    <t xml:space="preserve">N-09</t>
  </si>
  <si>
    <t xml:space="preserve">Меню аккаунта в шапке</t>
  </si>
  <si>
    <t xml:space="preserve">Выпадающее меню авторизованного</t>
  </si>
  <si>
    <t xml:space="preserve">N-10</t>
  </si>
  <si>
    <t xml:space="preserve">N-11</t>
  </si>
  <si>
    <t xml:space="preserve">Выйти</t>
  </si>
  <si>
    <t xml:space="preserve">N-12</t>
  </si>
  <si>
    <t xml:space="preserve">Подвал лендинга</t>
  </si>
  <si>
    <t xml:space="preserve">Ссылки на секции</t>
  </si>
  <si>
    <t xml:space="preserve">N-13</t>
  </si>
  <si>
    <t xml:space="preserve">Телефон, соцсети, карта</t>
  </si>
  <si>
    <t xml:space="preserve">Внешняя ссылка</t>
  </si>
  <si>
    <t xml:space="preserve">EXT</t>
  </si>
  <si>
    <t xml:space="preserve">N-14</t>
  </si>
  <si>
    <t xml:space="preserve">Вход для сотрудников</t>
  </si>
  <si>
    <t xml:space="preserve">Если ссылки нет — AUTH-04 останется без входящих, см. «Вопросы»</t>
  </si>
  <si>
    <t xml:space="preserve">N-15</t>
  </si>
  <si>
    <t xml:space="preserve">Индикатор шагов</t>
  </si>
  <si>
    <t xml:space="preserve">BOOK-01…BOOK-04</t>
  </si>
  <si>
    <t xml:space="preserve">Возврат к пройденному шагу</t>
  </si>
  <si>
    <t xml:space="preserve">N-16</t>
  </si>
  <si>
    <t xml:space="preserve">N-17</t>
  </si>
  <si>
    <t xml:space="preserve">Время</t>
  </si>
  <si>
    <t xml:space="preserve">N-18</t>
  </si>
  <si>
    <t xml:space="preserve">Подтверждение</t>
  </si>
  <si>
    <t xml:space="preserve">N-19</t>
  </si>
  <si>
    <t xml:space="preserve">Шапка записи</t>
  </si>
  <si>
    <t xml:space="preserve">Логотип / выход из записи</t>
  </si>
  <si>
    <t xml:space="preserve">N-20</t>
  </si>
  <si>
    <t xml:space="preserve">Меню кабинета</t>
  </si>
  <si>
    <t xml:space="preserve">Все страницы CAB с меню</t>
  </si>
  <si>
    <t xml:space="preserve">Сайдбар на десктопе, нижняя панель на мобильном</t>
  </si>
  <si>
    <t xml:space="preserve">N-21</t>
  </si>
  <si>
    <t xml:space="preserve">N-22</t>
  </si>
  <si>
    <t xml:space="preserve">N-23</t>
  </si>
  <si>
    <t xml:space="preserve">N-24</t>
  </si>
  <si>
    <t xml:space="preserve">N-25</t>
  </si>
  <si>
    <t xml:space="preserve">Шапка кабинета</t>
  </si>
  <si>
    <t xml:space="preserve">Логотип / на лендинг</t>
  </si>
  <si>
    <t xml:space="preserve">N-26</t>
  </si>
  <si>
    <t xml:space="preserve">Сверить наличие</t>
  </si>
  <si>
    <t xml:space="preserve">N-27</t>
  </si>
  <si>
    <t xml:space="preserve">N-28</t>
  </si>
  <si>
    <t xml:space="preserve">Таб-бар мастера</t>
  </si>
  <si>
    <t xml:space="preserve">Все страницы M с таб-баром</t>
  </si>
  <si>
    <t xml:space="preserve">N-29</t>
  </si>
  <si>
    <t xml:space="preserve">N-30</t>
  </si>
  <si>
    <t xml:space="preserve">Клиенты</t>
  </si>
  <si>
    <t xml:space="preserve">N-31</t>
  </si>
  <si>
    <t xml:space="preserve">N-32</t>
  </si>
  <si>
    <t xml:space="preserve">N-33</t>
  </si>
  <si>
    <t xml:space="preserve">Шапка мастера</t>
  </si>
  <si>
    <t xml:space="preserve">Уведомления (колокол)</t>
  </si>
  <si>
    <t xml:space="preserve">?</t>
  </si>
  <si>
    <t xml:space="preserve">Все страницы M</t>
  </si>
  <si>
    <t xml:space="preserve">Экрана уведомлений нет — см. «Вопросы»</t>
  </si>
  <si>
    <t xml:space="preserve">N-34</t>
  </si>
  <si>
    <t xml:space="preserve">Переключатель ролей</t>
  </si>
  <si>
    <t xml:space="preserve">Текущий контекст</t>
  </si>
  <si>
    <t xml:space="preserve">N-35</t>
  </si>
  <si>
    <t xml:space="preserve">N-36</t>
  </si>
  <si>
    <t xml:space="preserve">Выход</t>
  </si>
  <si>
    <t xml:space="preserve">N-37</t>
  </si>
  <si>
    <t xml:space="preserve">Боковое меню</t>
  </si>
  <si>
    <t xml:space="preserve">Расписание</t>
  </si>
  <si>
    <t xml:space="preserve">Все страницы A с меню</t>
  </si>
  <si>
    <t xml:space="preserve">N-38</t>
  </si>
  <si>
    <t xml:space="preserve">N-39</t>
  </si>
  <si>
    <t xml:space="preserve">Оплаты</t>
  </si>
  <si>
    <t xml:space="preserve">N-40</t>
  </si>
  <si>
    <t xml:space="preserve">N-41</t>
  </si>
  <si>
    <t xml:space="preserve">N-42</t>
  </si>
  <si>
    <t xml:space="preserve">N-43</t>
  </si>
  <si>
    <t xml:space="preserve">Сообщения</t>
  </si>
  <si>
    <t xml:space="preserve">N-44</t>
  </si>
  <si>
    <t xml:space="preserve">Сотрудники</t>
  </si>
  <si>
    <t xml:space="preserve">N-45</t>
  </si>
  <si>
    <t xml:space="preserve">Аналитика</t>
  </si>
  <si>
    <t xml:space="preserve">N-46</t>
  </si>
  <si>
    <t xml:space="preserve">Журнал</t>
  </si>
  <si>
    <t xml:space="preserve">N-47</t>
  </si>
  <si>
    <t xml:space="preserve">Настройки</t>
  </si>
  <si>
    <t xml:space="preserve">Экран не проектировался — см. «Вопросы»</t>
  </si>
  <si>
    <t xml:space="preserve">N-48</t>
  </si>
  <si>
    <t xml:space="preserve">Шапка администратора</t>
  </si>
  <si>
    <t xml:space="preserve">Новая запись</t>
  </si>
  <si>
    <t xml:space="preserve">N-49</t>
  </si>
  <si>
    <t xml:space="preserve">Результат поиска клиента</t>
  </si>
  <si>
    <t xml:space="preserve">N-50</t>
  </si>
  <si>
    <t xml:space="preserve">N-51</t>
  </si>
  <si>
    <t xml:space="preserve">N-52</t>
  </si>
  <si>
    <t xml:space="preserve">N-53</t>
  </si>
  <si>
    <t xml:space="preserve">Откуда (ID)</t>
  </si>
  <si>
    <t xml:space="preserve">Откуда (название)</t>
  </si>
  <si>
    <t xml:space="preserve">L-001</t>
  </si>
  <si>
    <t xml:space="preserve">Кнопка «Записаться» в первом экране</t>
  </si>
  <si>
    <t xml:space="preserve">L-002</t>
  </si>
  <si>
    <t xml:space="preserve">Кнопка «Записаться» в финальном призыве</t>
  </si>
  <si>
    <t xml:space="preserve">L-003</t>
  </si>
  <si>
    <t xml:space="preserve">Карточка услуги в секции «Услуги»</t>
  </si>
  <si>
    <t xml:space="preserve">Услуга подставлена в корзину визита</t>
  </si>
  <si>
    <t xml:space="preserve">L-004</t>
  </si>
  <si>
    <t xml:space="preserve">Карточка мастера в секции «Мастера»</t>
  </si>
  <si>
    <t xml:space="preserve">L-005</t>
  </si>
  <si>
    <t xml:space="preserve">Работа в секции «Работы»</t>
  </si>
  <si>
    <t xml:space="preserve">Если работа подписана мастером</t>
  </si>
  <si>
    <t xml:space="preserve">L-006</t>
  </si>
  <si>
    <t xml:space="preserve">Контакты: телефон, карта, соцсети</t>
  </si>
  <si>
    <t xml:space="preserve">L-007</t>
  </si>
  <si>
    <t xml:space="preserve">Кнопка «Записаться к мастеру»</t>
  </si>
  <si>
    <t xml:space="preserve">Мастер уже выбран на шаге услуг</t>
  </si>
  <si>
    <t xml:space="preserve">L-008</t>
  </si>
  <si>
    <t xml:space="preserve">«Все мастера» / назад на лендинг</t>
  </si>
  <si>
    <t xml:space="preserve">Назад</t>
  </si>
  <si>
    <t xml:space="preserve">К секции «Мастера»</t>
  </si>
  <si>
    <t xml:space="preserve">L-009</t>
  </si>
  <si>
    <t xml:space="preserve">Кнопка «Получить код»</t>
  </si>
  <si>
    <t xml:space="preserve">L-010</t>
  </si>
  <si>
    <t xml:space="preserve">«Назад» / крестик</t>
  </si>
  <si>
    <t xml:space="preserve">L-011</t>
  </si>
  <si>
    <t xml:space="preserve">Кнопка «Подтвердить» — клиент пришёл из записи</t>
  </si>
  <si>
    <t xml:space="preserve">Условный переход: выбрать демо-ветку</t>
  </si>
  <si>
    <t xml:space="preserve">L-012</t>
  </si>
  <si>
    <t xml:space="preserve">Кнопка «Подтвердить» — новый клиент</t>
  </si>
  <si>
    <t xml:space="preserve">L-013</t>
  </si>
  <si>
    <t xml:space="preserve">Ссылка «Изменить номер»</t>
  </si>
  <si>
    <t xml:space="preserve">L-014</t>
  </si>
  <si>
    <t xml:space="preserve">Кнопка «Сохранить»</t>
  </si>
  <si>
    <t xml:space="preserve">Если пришёл из записи — BOOK-04</t>
  </si>
  <si>
    <t xml:space="preserve">L-015</t>
  </si>
  <si>
    <t xml:space="preserve">Кнопка «Войти» — две роли</t>
  </si>
  <si>
    <t xml:space="preserve">L-016</t>
  </si>
  <si>
    <t xml:space="preserve">Кнопка «Войти» — только мастер</t>
  </si>
  <si>
    <t xml:space="preserve">Условный переход</t>
  </si>
  <si>
    <t xml:space="preserve">L-017</t>
  </si>
  <si>
    <t xml:space="preserve">Кнопка «Войти» — только администратор</t>
  </si>
  <si>
    <t xml:space="preserve">L-018</t>
  </si>
  <si>
    <t xml:space="preserve">Ссылка «Забыли пароль»</t>
  </si>
  <si>
    <t xml:space="preserve">L-019</t>
  </si>
  <si>
    <t xml:space="preserve">Ссылка «Войти по коду из SMS»</t>
  </si>
  <si>
    <t xml:space="preserve">L-020</t>
  </si>
  <si>
    <t xml:space="preserve">Кнопка «Подтвердить»</t>
  </si>
  <si>
    <t xml:space="preserve">L-021</t>
  </si>
  <si>
    <t xml:space="preserve">Ссылка «Войти по паролю»</t>
  </si>
  <si>
    <t xml:space="preserve">L-022</t>
  </si>
  <si>
    <t xml:space="preserve">Кнопка «Отправить»</t>
  </si>
  <si>
    <t xml:space="preserve">L-023</t>
  </si>
  <si>
    <t xml:space="preserve">«Назад ко входу»</t>
  </si>
  <si>
    <t xml:space="preserve">L-024</t>
  </si>
  <si>
    <t xml:space="preserve">Карточка «Работать как мастер»</t>
  </si>
  <si>
    <t xml:space="preserve">L-025</t>
  </si>
  <si>
    <t xml:space="preserve">Карточка «Работать как администратор»</t>
  </si>
  <si>
    <t xml:space="preserve">L-026</t>
  </si>
  <si>
    <t xml:space="preserve">Карточка услуги (добавить в корзину визита)</t>
  </si>
  <si>
    <t xml:space="preserve">Выбор без ухода со страницы, мультивыбор</t>
  </si>
  <si>
    <t xml:space="preserve">L-027</t>
  </si>
  <si>
    <t xml:space="preserve">Кнопка «Далее»</t>
  </si>
  <si>
    <t xml:space="preserve">L-028</t>
  </si>
  <si>
    <t xml:space="preserve">Кнопка «Далее» при входе из профиля мастера</t>
  </si>
  <si>
    <t xml:space="preserve">Мастер уже выбран, шаг 2 пропускается. Условный переход</t>
  </si>
  <si>
    <t xml:space="preserve">L-029</t>
  </si>
  <si>
    <t xml:space="preserve">L-030</t>
  </si>
  <si>
    <t xml:space="preserve">Вариант «Любой мастер»</t>
  </si>
  <si>
    <t xml:space="preserve">L-031</t>
  </si>
  <si>
    <t xml:space="preserve">«Назад»</t>
  </si>
  <si>
    <t xml:space="preserve">L-032</t>
  </si>
  <si>
    <t xml:space="preserve">Свободный слот времени</t>
  </si>
  <si>
    <t xml:space="preserve">L-033</t>
  </si>
  <si>
    <t xml:space="preserve">Кнопка «Встать в лист ожидания»</t>
  </si>
  <si>
    <t xml:space="preserve">L-034</t>
  </si>
  <si>
    <t xml:space="preserve">Занятый слот (демо)</t>
  </si>
  <si>
    <t xml:space="preserve">Сверить наличие модалки</t>
  </si>
  <si>
    <t xml:space="preserve">L-035</t>
  </si>
  <si>
    <t xml:space="preserve">L-036</t>
  </si>
  <si>
    <t xml:space="preserve">Если для листа ожидания отдельный экран успеха — завести ID</t>
  </si>
  <si>
    <t xml:space="preserve">L-037</t>
  </si>
  <si>
    <t xml:space="preserve">Кнопка «Отмена» / крестик</t>
  </si>
  <si>
    <t xml:space="preserve">Закрыть оверлей</t>
  </si>
  <si>
    <t xml:space="preserve">L-038</t>
  </si>
  <si>
    <t xml:space="preserve">Кнопка «Выбрать другое время»</t>
  </si>
  <si>
    <t xml:space="preserve">L-039</t>
  </si>
  <si>
    <t xml:space="preserve">Если такая кнопка есть</t>
  </si>
  <si>
    <t xml:space="preserve">L-040</t>
  </si>
  <si>
    <t xml:space="preserve">Кнопка «Войти, чтобы записаться»</t>
  </si>
  <si>
    <t xml:space="preserve">L-041</t>
  </si>
  <si>
    <t xml:space="preserve">Кнопка «Записаться»</t>
  </si>
  <si>
    <t xml:space="preserve">L-042</t>
  </si>
  <si>
    <t xml:space="preserve">Ошибка при отправке (демо)</t>
  </si>
  <si>
    <t xml:space="preserve">L-043</t>
  </si>
  <si>
    <t xml:space="preserve">«Изменить» у услуг</t>
  </si>
  <si>
    <t xml:space="preserve">L-044</t>
  </si>
  <si>
    <t xml:space="preserve">«Изменить» у мастера</t>
  </si>
  <si>
    <t xml:space="preserve">L-045</t>
  </si>
  <si>
    <t xml:space="preserve">«Изменить» у времени</t>
  </si>
  <si>
    <t xml:space="preserve">L-046</t>
  </si>
  <si>
    <t xml:space="preserve">L-047</t>
  </si>
  <si>
    <t xml:space="preserve">Кнопка «Мои записи»</t>
  </si>
  <si>
    <t xml:space="preserve">L-048</t>
  </si>
  <si>
    <t xml:space="preserve">Кнопка «На главную»</t>
  </si>
  <si>
    <t xml:space="preserve">L-049</t>
  </si>
  <si>
    <t xml:space="preserve">Кнопка «Попробовать снова»</t>
  </si>
  <si>
    <t xml:space="preserve">L-050</t>
  </si>
  <si>
    <t xml:space="preserve">L-051</t>
  </si>
  <si>
    <t xml:space="preserve">L-052</t>
  </si>
  <si>
    <t xml:space="preserve">Кнопка «Записаться» (в пустом списке)</t>
  </si>
  <si>
    <t xml:space="preserve">L-053</t>
  </si>
  <si>
    <t xml:space="preserve">Карточка прошедшего визита</t>
  </si>
  <si>
    <t xml:space="preserve">L-054</t>
  </si>
  <si>
    <t xml:space="preserve">Кнопка «Оставить отзыв»</t>
  </si>
  <si>
    <t xml:space="preserve">L-055</t>
  </si>
  <si>
    <t xml:space="preserve">Кнопка «Записаться снова»</t>
  </si>
  <si>
    <t xml:space="preserve">Услуги и мастер подставлены</t>
  </si>
  <si>
    <t xml:space="preserve">L-056</t>
  </si>
  <si>
    <t xml:space="preserve">Кнопка «Перенести»</t>
  </si>
  <si>
    <t xml:space="preserve">L-057</t>
  </si>
  <si>
    <t xml:space="preserve">Кнопка «Отменить»</t>
  </si>
  <si>
    <t xml:space="preserve">L-058</t>
  </si>
  <si>
    <t xml:space="preserve">Имя мастера</t>
  </si>
  <si>
    <t xml:space="preserve">L-059</t>
  </si>
  <si>
    <t xml:space="preserve">L-060</t>
  </si>
  <si>
    <t xml:space="preserve">Кнопка «Подтвердить перенос»</t>
  </si>
  <si>
    <t xml:space="preserve">Страница без меню кабинета, выход только этими кнопками</t>
  </si>
  <si>
    <t xml:space="preserve">L-061</t>
  </si>
  <si>
    <t xml:space="preserve">Кнопка «Отмена» / «Назад»</t>
  </si>
  <si>
    <t xml:space="preserve">L-062</t>
  </si>
  <si>
    <t xml:space="preserve">Кнопка «Отменить запись»</t>
  </si>
  <si>
    <t xml:space="preserve">L-063</t>
  </si>
  <si>
    <t xml:space="preserve">Кнопка «Не отменять»</t>
  </si>
  <si>
    <t xml:space="preserve">L-064</t>
  </si>
  <si>
    <t xml:space="preserve">L-065</t>
  </si>
  <si>
    <t xml:space="preserve">Крестик</t>
  </si>
  <si>
    <t xml:space="preserve">L-066</t>
  </si>
  <si>
    <t xml:space="preserve">Кнопка «Выйти»</t>
  </si>
  <si>
    <t xml:space="preserve">L-067</t>
  </si>
  <si>
    <t xml:space="preserve">Карточка избранного мастера</t>
  </si>
  <si>
    <t xml:space="preserve">L-068</t>
  </si>
  <si>
    <t xml:space="preserve">Кнопка «Записаться» на карточке мастера</t>
  </si>
  <si>
    <t xml:space="preserve">Мастер уже выбран</t>
  </si>
  <si>
    <t xml:space="preserve">L-069</t>
  </si>
  <si>
    <t xml:space="preserve">Карточка записи со статусом «Ожидает»</t>
  </si>
  <si>
    <t xml:space="preserve">L-070</t>
  </si>
  <si>
    <t xml:space="preserve">Карточка записи со статусом «Подтверждена»</t>
  </si>
  <si>
    <t xml:space="preserve">L-071</t>
  </si>
  <si>
    <t xml:space="preserve">Закреплённая текущая запись («В работе»)</t>
  </si>
  <si>
    <t xml:space="preserve">L-072</t>
  </si>
  <si>
    <t xml:space="preserve">Прошедшая запись («Завершена»)</t>
  </si>
  <si>
    <t xml:space="preserve">L-073</t>
  </si>
  <si>
    <t xml:space="preserve">L-074</t>
  </si>
  <si>
    <t xml:space="preserve">Кнопка «Предложить перенос»</t>
  </si>
  <si>
    <t xml:space="preserve">L-075</t>
  </si>
  <si>
    <t xml:space="preserve">Имя клиента</t>
  </si>
  <si>
    <t xml:space="preserve">L-076</t>
  </si>
  <si>
    <t xml:space="preserve">L-077</t>
  </si>
  <si>
    <t xml:space="preserve">Кнопка «Начать приём»</t>
  </si>
  <si>
    <t xml:space="preserve">L-078</t>
  </si>
  <si>
    <t xml:space="preserve">Кнопка «Клиент не пришёл»</t>
  </si>
  <si>
    <t xml:space="preserve">L-079</t>
  </si>
  <si>
    <t xml:space="preserve">L-080</t>
  </si>
  <si>
    <t xml:space="preserve">L-081</t>
  </si>
  <si>
    <t xml:space="preserve">Кнопка «Завершить визит»</t>
  </si>
  <si>
    <t xml:space="preserve">L-082</t>
  </si>
  <si>
    <t xml:space="preserve">L-083</t>
  </si>
  <si>
    <t xml:space="preserve">L-084</t>
  </si>
  <si>
    <t xml:space="preserve">Кнопка «Добавить комментарий и фото»</t>
  </si>
  <si>
    <t xml:space="preserve">Или демо M-S5 для старого визита</t>
  </si>
  <si>
    <t xml:space="preserve">L-085</t>
  </si>
  <si>
    <t xml:space="preserve">L-086</t>
  </si>
  <si>
    <t xml:space="preserve">«Добавить комментарий» у визита старше 24 часов (демо)</t>
  </si>
  <si>
    <t xml:space="preserve">L-087</t>
  </si>
  <si>
    <t xml:space="preserve">L-088</t>
  </si>
  <si>
    <t xml:space="preserve">Кнопка «Подтвердить неявку»</t>
  </si>
  <si>
    <t xml:space="preserve">L-089</t>
  </si>
  <si>
    <t xml:space="preserve">Кнопка «Отмена»</t>
  </si>
  <si>
    <t xml:space="preserve">L-090</t>
  </si>
  <si>
    <t xml:space="preserve">Кнопка «Отправить администратору»</t>
  </si>
  <si>
    <t xml:space="preserve">L-091</t>
  </si>
  <si>
    <t xml:space="preserve">Крестик / свайп вниз</t>
  </si>
  <si>
    <t xml:space="preserve">L-092</t>
  </si>
  <si>
    <t xml:space="preserve">Кнопка «Завершить»</t>
  </si>
  <si>
    <t xml:space="preserve">L-093</t>
  </si>
  <si>
    <t xml:space="preserve">L-094</t>
  </si>
  <si>
    <t xml:space="preserve">Кнопка «К записям»</t>
  </si>
  <si>
    <t xml:space="preserve">L-095</t>
  </si>
  <si>
    <t xml:space="preserve">Запись в сетке дня</t>
  </si>
  <si>
    <t xml:space="preserve">L-096</t>
  </si>
  <si>
    <t xml:space="preserve">Свободный интервал</t>
  </si>
  <si>
    <t xml:space="preserve">L-097</t>
  </si>
  <si>
    <t xml:space="preserve">«Закрыть слот»</t>
  </si>
  <si>
    <t xml:space="preserve">Заявка появляется в «Мои заявки»</t>
  </si>
  <si>
    <t xml:space="preserve">L-098</t>
  </si>
  <si>
    <t xml:space="preserve">«Запросить отгул на день»</t>
  </si>
  <si>
    <t xml:space="preserve">L-099</t>
  </si>
  <si>
    <t xml:space="preserve">«Отмена»</t>
  </si>
  <si>
    <t xml:space="preserve">L-100</t>
  </si>
  <si>
    <t xml:space="preserve">Строка клиента</t>
  </si>
  <si>
    <t xml:space="preserve">L-101</t>
  </si>
  <si>
    <t xml:space="preserve">L-102</t>
  </si>
  <si>
    <t xml:space="preserve">Кнопка «Позвонить»</t>
  </si>
  <si>
    <t xml:space="preserve">L-103</t>
  </si>
  <si>
    <t xml:space="preserve">Кнопка «Редактировать»</t>
  </si>
  <si>
    <t xml:space="preserve">L-104</t>
  </si>
  <si>
    <t xml:space="preserve">Кнопка «Посмотреть, как видит клиент»</t>
  </si>
  <si>
    <t xml:space="preserve">L-105</t>
  </si>
  <si>
    <t xml:space="preserve">L-106</t>
  </si>
  <si>
    <t xml:space="preserve">L-107</t>
  </si>
  <si>
    <t xml:space="preserve">L-108</t>
  </si>
  <si>
    <t xml:space="preserve">L-109</t>
  </si>
  <si>
    <t xml:space="preserve">Тап по уведомлению</t>
  </si>
  <si>
    <t xml:space="preserve">L-110</t>
  </si>
  <si>
    <t xml:space="preserve">Кнопка «Понятно»</t>
  </si>
  <si>
    <t xml:space="preserve">L-111</t>
  </si>
  <si>
    <t xml:space="preserve">Блок записи в сетке</t>
  </si>
  <si>
    <t xml:space="preserve">L-112</t>
  </si>
  <si>
    <t xml:space="preserve">Пустой слот в сетке</t>
  </si>
  <si>
    <t xml:space="preserve">L-113</t>
  </si>
  <si>
    <t xml:space="preserve">Переключатель «Неделя»</t>
  </si>
  <si>
    <t xml:space="preserve">L-114</t>
  </si>
  <si>
    <t xml:space="preserve">Счётчик «Завершено без оплаты» в сводке</t>
  </si>
  <si>
    <t xml:space="preserve">L-115</t>
  </si>
  <si>
    <t xml:space="preserve">Переключатель «День»</t>
  </si>
  <si>
    <t xml:space="preserve">L-116</t>
  </si>
  <si>
    <t xml:space="preserve">Блок записи</t>
  </si>
  <si>
    <t xml:space="preserve">L-117</t>
  </si>
  <si>
    <t xml:space="preserve">Кнопка «Создать запись»</t>
  </si>
  <si>
    <t xml:space="preserve">L-118</t>
  </si>
  <si>
    <t xml:space="preserve">L-119</t>
  </si>
  <si>
    <t xml:space="preserve">Выбор занятого слота (демо)</t>
  </si>
  <si>
    <t xml:space="preserve">L-120</t>
  </si>
  <si>
    <t xml:space="preserve">Чипс альтернативного слота</t>
  </si>
  <si>
    <t xml:space="preserve">L-121</t>
  </si>
  <si>
    <t xml:space="preserve">L-122</t>
  </si>
  <si>
    <t xml:space="preserve">L-123</t>
  </si>
  <si>
    <t xml:space="preserve">L-124</t>
  </si>
  <si>
    <t xml:space="preserve">Кнопка «Неявка»</t>
  </si>
  <si>
    <t xml:space="preserve">Если пункта нет в поповере — «Нет элемента»</t>
  </si>
  <si>
    <t xml:space="preserve">L-125</t>
  </si>
  <si>
    <t xml:space="preserve">Кнопка «Принять оплату»</t>
  </si>
  <si>
    <t xml:space="preserve">L-126</t>
  </si>
  <si>
    <t xml:space="preserve">Кнопка «Открыть карточку клиента»</t>
  </si>
  <si>
    <t xml:space="preserve">L-127</t>
  </si>
  <si>
    <t xml:space="preserve">Клик вне поповера / крестик</t>
  </si>
  <si>
    <t xml:space="preserve">L-128</t>
  </si>
  <si>
    <t xml:space="preserve">L-129</t>
  </si>
  <si>
    <t xml:space="preserve">L-130</t>
  </si>
  <si>
    <t xml:space="preserve">Показать освободившийся слот</t>
  </si>
  <si>
    <t xml:space="preserve">L-131</t>
  </si>
  <si>
    <t xml:space="preserve">L-132</t>
  </si>
  <si>
    <t xml:space="preserve">Кнопка «Зафиксировать неявку»</t>
  </si>
  <si>
    <t xml:space="preserve">L-133</t>
  </si>
  <si>
    <t xml:space="preserve">L-134</t>
  </si>
  <si>
    <t xml:space="preserve">L-135</t>
  </si>
  <si>
    <t xml:space="preserve">Кнопка «Добавить клиента»</t>
  </si>
  <si>
    <t xml:space="preserve">L-136</t>
  </si>
  <si>
    <t xml:space="preserve">Кнопка «Экспорт» (замок)</t>
  </si>
  <si>
    <t xml:space="preserve">L-137</t>
  </si>
  <si>
    <t xml:space="preserve">Массовое действие «Отправить сообщение»</t>
  </si>
  <si>
    <t xml:space="preserve">L-138</t>
  </si>
  <si>
    <t xml:space="preserve">Кнопка «Записать»</t>
  </si>
  <si>
    <t xml:space="preserve">L-139</t>
  </si>
  <si>
    <t xml:space="preserve">Кнопка «Открыть карточку»</t>
  </si>
  <si>
    <t xml:space="preserve">L-140</t>
  </si>
  <si>
    <t xml:space="preserve">L-141</t>
  </si>
  <si>
    <t xml:space="preserve">L-142</t>
  </si>
  <si>
    <t xml:space="preserve">L-143</t>
  </si>
  <si>
    <t xml:space="preserve">Кнопка «Написать»</t>
  </si>
  <si>
    <t xml:space="preserve">L-144</t>
  </si>
  <si>
    <t xml:space="preserve">L-145</t>
  </si>
  <si>
    <t xml:space="preserve">Кнопка «В чёрный список»</t>
  </si>
  <si>
    <t xml:space="preserve">L-146</t>
  </si>
  <si>
    <t xml:space="preserve">Запись во вкладке «Предстоящие»</t>
  </si>
  <si>
    <t xml:space="preserve">L-147</t>
  </si>
  <si>
    <t xml:space="preserve">«Назад к клиентам»</t>
  </si>
  <si>
    <t xml:space="preserve">L-148</t>
  </si>
  <si>
    <t xml:space="preserve">L-149</t>
  </si>
  <si>
    <t xml:space="preserve">PARENT</t>
  </si>
  <si>
    <t xml:space="preserve">L-150</t>
  </si>
  <si>
    <t xml:space="preserve">L-151</t>
  </si>
  <si>
    <t xml:space="preserve">L-152</t>
  </si>
  <si>
    <t xml:space="preserve">Кнопка «Оформить» в блоке «Требуют оформления»</t>
  </si>
  <si>
    <t xml:space="preserve">L-153</t>
  </si>
  <si>
    <t xml:space="preserve">Действие «Возврат» в строке операции</t>
  </si>
  <si>
    <t xml:space="preserve">L-154</t>
  </si>
  <si>
    <t xml:space="preserve">Кнопка «Закрыть смену»</t>
  </si>
  <si>
    <t xml:space="preserve">L-155</t>
  </si>
  <si>
    <t xml:space="preserve">Кнопка «Отметить оплаченным»</t>
  </si>
  <si>
    <t xml:space="preserve">L-156</t>
  </si>
  <si>
    <t xml:space="preserve">L-157</t>
  </si>
  <si>
    <t xml:space="preserve">Кнопка «Оформить возврат»</t>
  </si>
  <si>
    <t xml:space="preserve">L-158</t>
  </si>
  <si>
    <t xml:space="preserve">L-159</t>
  </si>
  <si>
    <t xml:space="preserve">L-160</t>
  </si>
  <si>
    <t xml:space="preserve">Кнопка «Закрыть смену» при незакрытых оплатах (демо)</t>
  </si>
  <si>
    <t xml:space="preserve">L-161</t>
  </si>
  <si>
    <t xml:space="preserve">Кнопка «Оформить» у визита без оплаты</t>
  </si>
  <si>
    <t xml:space="preserve">L-162</t>
  </si>
  <si>
    <t xml:space="preserve">«Назад к оплатам»</t>
  </si>
  <si>
    <t xml:space="preserve">L-163</t>
  </si>
  <si>
    <t xml:space="preserve">Кнопка «Добавить в лист ожидания»</t>
  </si>
  <si>
    <t xml:space="preserve">L-164</t>
  </si>
  <si>
    <t xml:space="preserve">Уведомление «Освободился слот»</t>
  </si>
  <si>
    <t xml:space="preserve">L-165</t>
  </si>
  <si>
    <t xml:space="preserve">Кнопка «Добавить»</t>
  </si>
  <si>
    <t xml:space="preserve">L-166</t>
  </si>
  <si>
    <t xml:space="preserve">L-167</t>
  </si>
  <si>
    <t xml:space="preserve">Кнопка «Записать сразу»</t>
  </si>
  <si>
    <t xml:space="preserve">L-168</t>
  </si>
  <si>
    <t xml:space="preserve">L-169</t>
  </si>
  <si>
    <t xml:space="preserve">Строка мастера</t>
  </si>
  <si>
    <t xml:space="preserve">L-170</t>
  </si>
  <si>
    <t xml:space="preserve">Вкладка «График смен»</t>
  </si>
  <si>
    <t xml:space="preserve">L-171</t>
  </si>
  <si>
    <t xml:space="preserve">Вкладка «Заявки»</t>
  </si>
  <si>
    <t xml:space="preserve">L-172</t>
  </si>
  <si>
    <t xml:space="preserve">Вкладка «Мастера»</t>
  </si>
  <si>
    <t xml:space="preserve">L-173</t>
  </si>
  <si>
    <t xml:space="preserve">L-174</t>
  </si>
  <si>
    <t xml:space="preserve">L-175</t>
  </si>
  <si>
    <t xml:space="preserve">«Перенести затронутые записи»</t>
  </si>
  <si>
    <t xml:space="preserve">L-176</t>
  </si>
  <si>
    <t xml:space="preserve">«Назад к мастерам»</t>
  </si>
  <si>
    <t xml:space="preserve">L-177</t>
  </si>
  <si>
    <t xml:space="preserve">Блок «График»</t>
  </si>
  <si>
    <t xml:space="preserve">L-178</t>
  </si>
  <si>
    <t xml:space="preserve">Блок ставки (замок)</t>
  </si>
  <si>
    <t xml:space="preserve">L-179</t>
  </si>
  <si>
    <t xml:space="preserve">Строка услуги</t>
  </si>
  <si>
    <t xml:space="preserve">L-180</t>
  </si>
  <si>
    <t xml:space="preserve">Кнопка «Добавить услугу»</t>
  </si>
  <si>
    <t xml:space="preserve">L-181</t>
  </si>
  <si>
    <t xml:space="preserve">L-182</t>
  </si>
  <si>
    <t xml:space="preserve">L-183</t>
  </si>
  <si>
    <t xml:space="preserve">Поле цены (замок)</t>
  </si>
  <si>
    <t xml:space="preserve">L-184</t>
  </si>
  <si>
    <t xml:space="preserve">Вкладка «Диалоги»</t>
  </si>
  <si>
    <t xml:space="preserve">L-185</t>
  </si>
  <si>
    <t xml:space="preserve">Вкладка «Рассылка»</t>
  </si>
  <si>
    <t xml:space="preserve">L-186</t>
  </si>
  <si>
    <t xml:space="preserve">Вкладка «Автоуведомления»</t>
  </si>
  <si>
    <t xml:space="preserve">L-187</t>
  </si>
  <si>
    <t xml:space="preserve">Имя клиента в шапке диалога</t>
  </si>
  <si>
    <t xml:space="preserve">L-188</t>
  </si>
  <si>
    <t xml:space="preserve">Кнопка «Отправить» (замок)</t>
  </si>
  <si>
    <t xml:space="preserve">L-189</t>
  </si>
  <si>
    <t xml:space="preserve">L-190</t>
  </si>
  <si>
    <t xml:space="preserve">Строка сотрудника</t>
  </si>
  <si>
    <t xml:space="preserve">L-191</t>
  </si>
  <si>
    <t xml:space="preserve">Кнопка «Добавить сотрудника»</t>
  </si>
  <si>
    <t xml:space="preserve">L-192</t>
  </si>
  <si>
    <t xml:space="preserve">L-193</t>
  </si>
  <si>
    <t xml:space="preserve">Кнопка «Заблокировать доступ»</t>
  </si>
  <si>
    <t xml:space="preserve">L-194</t>
  </si>
  <si>
    <t xml:space="preserve">L-195</t>
  </si>
  <si>
    <t xml:space="preserve">Строка мастера в таблице</t>
  </si>
  <si>
    <t xml:space="preserve">L-196</t>
  </si>
  <si>
    <t xml:space="preserve">Кнопка «Запросить у владельца»</t>
  </si>
  <si>
    <t xml:space="preserve">L-197</t>
  </si>
  <si>
    <t xml:space="preserve">Кнопка «Закрыть»</t>
  </si>
  <si>
    <t xml:space="preserve">L-198</t>
  </si>
  <si>
    <t xml:space="preserve">Кнопка «Обновить»</t>
  </si>
  <si>
    <t xml:space="preserve">L-199</t>
  </si>
  <si>
    <t xml:space="preserve">Кнопка «Повторить»</t>
  </si>
  <si>
    <t xml:space="preserve">L-200</t>
  </si>
  <si>
    <t xml:space="preserve">Кнопка «Оформить»</t>
  </si>
  <si>
    <t xml:space="preserve">L-201</t>
  </si>
  <si>
    <t xml:space="preserve">L-202</t>
  </si>
  <si>
    <t xml:space="preserve">После закрытия смены — A-12</t>
  </si>
  <si>
    <t xml:space="preserve">L-203</t>
  </si>
  <si>
    <t xml:space="preserve">L-204</t>
  </si>
  <si>
    <t xml:space="preserve">L-205</t>
  </si>
  <si>
    <t xml:space="preserve">L-206</t>
  </si>
  <si>
    <t xml:space="preserve">L-207</t>
  </si>
  <si>
    <t xml:space="preserve">Кнопка «Войти снова»</t>
  </si>
  <si>
    <t xml:space="preserve">Для клиента — AUTH-01</t>
  </si>
  <si>
    <t xml:space="preserve">L-208</t>
  </si>
  <si>
    <t xml:space="preserve">Кнопка «Ко входу»</t>
  </si>
  <si>
    <t xml:space="preserve">L-209</t>
  </si>
  <si>
    <t xml:space="preserve">«Связаться с администратором»</t>
  </si>
  <si>
    <t xml:space="preserve">№</t>
  </si>
  <si>
    <t xml:space="preserve">Сценарий</t>
  </si>
  <si>
    <t xml:space="preserve">Путь (ID)</t>
  </si>
  <si>
    <t xml:space="preserve">Результат прогона</t>
  </si>
  <si>
    <t xml:space="preserve">Где обрывается</t>
  </si>
  <si>
    <t xml:space="preserve">Запись с лендинга без авторизации</t>
  </si>
  <si>
    <t xml:space="preserve">PUB-01 → BOOK-01 → BOOK-02 → BOOK-03 → BOOK-04 → AUTH-01 → AUTH-02 → BOOK-04 → BOOK-05 → CAB-01</t>
  </si>
  <si>
    <t xml:space="preserve">Не проверено</t>
  </si>
  <si>
    <t xml:space="preserve">Запись из профиля мастера (шаг «Мастер» пропускается)</t>
  </si>
  <si>
    <t xml:space="preserve">PUB-01 → PUB-05 → BOOK-01 → BOOK-03 → BOOK-04 → BOOK-05</t>
  </si>
  <si>
    <t xml:space="preserve">BOOK-03 → BOOK-W1 → BOOK-05</t>
  </si>
  <si>
    <t xml:space="preserve">CAB-01 → CAB-03 → CAB-04 → CAB-03 → CAB-01</t>
  </si>
  <si>
    <t xml:space="preserve">Отмена записи и выход</t>
  </si>
  <si>
    <t xml:space="preserve">CAB-01 → CAB-03 → CAB-05 → CAB-01 → [меню: Выйти] → PUB-01</t>
  </si>
  <si>
    <t xml:space="preserve">Отзыв из истории</t>
  </si>
  <si>
    <t xml:space="preserve">CAB-02 → CAB-06 → CAB-02</t>
  </si>
  <si>
    <t xml:space="preserve">Полный цикл визита</t>
  </si>
  <si>
    <t xml:space="preserve">AUTH-04 → M-01 → M-02a → M-02b → M-02c → M-03 → M-04 → M-01</t>
  </si>
  <si>
    <t xml:space="preserve">Закрыть слот</t>
  </si>
  <si>
    <t xml:space="preserve">M-01 → [таб-бар] → M-05 → M-06 → M-05</t>
  </si>
  <si>
    <t xml:space="preserve">Создание записи</t>
  </si>
  <si>
    <t xml:space="preserve">A-01 → A-02 → A-01</t>
  </si>
  <si>
    <t xml:space="preserve">Отмена и лист ожидания</t>
  </si>
  <si>
    <t xml:space="preserve">A-01 → A-03 → A-05 → A-18 → A-02 → A-01</t>
  </si>
  <si>
    <t xml:space="preserve">Оплата и закрытие смены</t>
  </si>
  <si>
    <t xml:space="preserve">A-12 → A-13 → A-12 → A-15 → A-S6 → A-12</t>
  </si>
  <si>
    <t xml:space="preserve">Роли</t>
  </si>
  <si>
    <t xml:space="preserve">Переключение контекста и выход</t>
  </si>
  <si>
    <t xml:space="preserve">AUTH-04 → AUTH-07 → M-01 → [переключатель] → A-01 → [переключатель] → M-01 → [переключатель: Выход] → AUTH-04</t>
  </si>
  <si>
    <t xml:space="preserve">Вопрос</t>
  </si>
  <si>
    <t xml:space="preserve">Суть</t>
  </si>
  <si>
    <t xml:space="preserve">Когда решить</t>
  </si>
  <si>
    <t xml:space="preserve">Решение</t>
  </si>
  <si>
    <t xml:space="preserve">Уведомления (колокол) у мастера и администратора</t>
  </si>
  <si>
    <t xml:space="preserve">Экрана уведомлений в кабинетах сотрудников не проектировали. Варианты: сделать колокол неактивным, вести на главный экран роли или дорисовать.</t>
  </si>
  <si>
    <t xml:space="preserve">Решить до промпта 7</t>
  </si>
  <si>
    <t xml:space="preserve">Пункт «Настройки» в меню администратора</t>
  </si>
  <si>
    <t xml:space="preserve">Экран не проектировался. Варианты: скрыть пункт, вести на A-32 как раздел владельца, или дорисовать.</t>
  </si>
  <si>
    <t xml:space="preserve">Единственный путь на AUTH-04 в карте — ссылка в подвале лендинга. Если её нет, страница останется без входящих переходов: сотрудники заходят по прямому адресу. Это допустимо, но в прототипе нужен способ туда попасть для показа.</t>
  </si>
  <si>
    <t xml:space="preserve">Проверить подвал</t>
  </si>
  <si>
    <t xml:space="preserve">Лист ожидания клиента (BOOK-W1)</t>
  </si>
  <si>
    <t xml:space="preserve">Что показывается после отправки заявки: общий экран «Успех» или отдельный экран? Если отдельный — завести для него ID.</t>
  </si>
  <si>
    <t xml:space="preserve">Решить до блока BOOK</t>
  </si>
  <si>
    <t xml:space="preserve">Модалка «Слот занят» (BOOK-M1)</t>
  </si>
  <si>
    <t xml:space="preserve">Осталась ли она после появления листа ожидания, или занятый слот сразу ведёт в BOOK-W1.</t>
  </si>
  <si>
    <t xml:space="preserve">Сверка реестра</t>
  </si>
  <si>
    <t xml:space="preserve">Пропуск шага «Мастер»</t>
  </si>
  <si>
    <t xml:space="preserve">Вход из профиля мастера пропускает шаг 2. В прототипе кнопка «Далее» на шаге услуг не может вести в два места — выбрать демо-ветку.</t>
  </si>
  <si>
    <t xml:space="preserve">Корзина визита на шаге услуг</t>
  </si>
  <si>
    <t xml:space="preserve">Мультивыбор внутри страницы переходом не является. Уточнить, есть ли отдельный экран или шторка корзины.</t>
  </si>
  <si>
    <t xml:space="preserve">Перенос записи (CAB-04)</t>
  </si>
  <si>
    <t xml:space="preserve">Страница без меню кабинета: единственный выход — кнопки «Подтвердить» и «Назад». Проверить, что обе связаны, иначе страница станет тупиком.</t>
  </si>
  <si>
    <t xml:space="preserve">Блок CAB</t>
  </si>
  <si>
    <t xml:space="preserve">Меню аккаунта в шапке лендинга</t>
  </si>
  <si>
    <t xml:space="preserve">Три пункта: Мои записи, Профиль, Выйти. «Уведомления» и «Избранные мастера» доступны только из меню кабинета — проверить, что это осознанно.</t>
  </si>
  <si>
    <t xml:space="preserve">Проверить</t>
  </si>
  <si>
    <t xml:space="preserve">Условные переходы</t>
  </si>
  <si>
    <t xml:space="preserve">Прототип не ветвится по данным: вход с одной или двумя ролями, новый или существующий клиент, успех или ошибка записи, пропуск шага мастера. Для каждой такой кнопки выбрать одну демо-ветку.</t>
  </si>
  <si>
    <t xml:space="preserve">Решить до блоков AUTH и BOOK</t>
  </si>
  <si>
    <t xml:space="preserve">«Неявка» в поповере администратора</t>
  </si>
  <si>
    <t xml:space="preserve">В промпте поповера такого пункта не было, диалог неявки A-06 может оказаться недостижимым.</t>
  </si>
  <si>
    <t xml:space="preserve">Проверить A-03</t>
  </si>
  <si>
    <t xml:space="preserve">Форма клиента A-10</t>
  </si>
  <si>
    <t xml:space="preserve">В промптах была только быстрая форма внутри панели записи. Отдельной формы «Добавить / редактировать клиента» может не быть.</t>
  </si>
  <si>
    <t xml:space="preserve">Проверить в реестре</t>
  </si>
  <si>
    <t xml:space="preserve">«Добавить комментарий и фото» у завершённого визита</t>
  </si>
  <si>
    <t xml:space="preserve">Ведёт на экран завершения M-03 или на отдельный режим редактирования?</t>
  </si>
  <si>
    <t xml:space="preserve">Решить до блока M</t>
  </si>
  <si>
    <t xml:space="preserve">Служебные страницы и демо-состояния</t>
  </si>
  <si>
    <t xml:space="preserve">На них нет естественного входа — они возникают по событию. Решить, нужны ли демо-входы для показа прототипа.</t>
  </si>
  <si>
    <t xml:space="preserve">Решить до блока SYS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</si>
</sst>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rgb="FFFFF4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ont>
        <name val="Arial"/>
        <charset val="1"/>
        <family val="0"/>
        <b val="1"/>
        <color rgb="FFB91C1C"/>
      </font>
      <fill>
        <patternFill>
          <bgColor rgb="FFFDE2E2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35.0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23.8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35.0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2" t="s">
        <v>16</v>
      </c>
    </row>
    <row r="23" customFormat="false" ht="23.8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23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21</v>
      </c>
    </row>
    <row r="29" customFormat="false" ht="23.85" hidden="false" customHeight="false" outlineLevel="0" collapsed="false">
      <c r="A2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31.5" hidden="false" customHeight="true" outlineLevel="0" collapsed="false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</row>
    <row r="2" customFormat="false" ht="15" hidden="false" customHeight="false" outlineLevel="0" collapsed="false">
      <c r="A2" s="5" t="s">
        <v>32</v>
      </c>
      <c r="B2" s="6" t="n">
        <f aca="false">COUNTIF(Реестр!$B:$B,A2)</f>
        <v>2</v>
      </c>
      <c r="C2" s="6" t="n">
        <f aca="false">COUNTIF(Связи!$B:$B,A2)</f>
        <v>8</v>
      </c>
      <c r="D2" s="6" t="n">
        <f aca="false">COUNTIFS(Связи!$B:$B,A2,Связи!$J:$J,"Связано")</f>
        <v>0</v>
      </c>
      <c r="E2" s="6" t="n">
        <f aca="false">COUNTIFS(Связи!$B:$B,A2,Связи!$J:$J,"Нет элемента")</f>
        <v>0</v>
      </c>
      <c r="F2" s="6" t="n">
        <f aca="false">COUNTIFS(Связи!$B:$B,A2,Связи!$J:$J,"Требует решения")</f>
        <v>0</v>
      </c>
      <c r="G2" s="6" t="n">
        <f aca="false">COUNTIFS(Реестр!$B:$B,A2,Реестр!$L:$L,"⚠ сирота")</f>
        <v>0</v>
      </c>
      <c r="H2" s="6" t="n">
        <f aca="false">COUNTIFS(Реестр!$B:$B,A2,Реестр!$L:$L,"⚠ тупик")</f>
        <v>0</v>
      </c>
      <c r="I2" s="6" t="n">
        <f aca="false">COUNTIFS(Реестр!$B:$B,A2,Реестр!$I:$I,"Не сверено")</f>
        <v>2</v>
      </c>
    </row>
    <row r="3" customFormat="false" ht="15" hidden="false" customHeight="false" outlineLevel="0" collapsed="false">
      <c r="A3" s="5" t="s">
        <v>33</v>
      </c>
      <c r="B3" s="6" t="n">
        <f aca="false">COUNTIF(Реестр!$B:$B,A3)</f>
        <v>7</v>
      </c>
      <c r="C3" s="6" t="n">
        <f aca="false">COUNTIF(Связи!$B:$B,A3)</f>
        <v>17</v>
      </c>
      <c r="D3" s="6" t="n">
        <f aca="false">COUNTIFS(Связи!$B:$B,A3,Связи!$J:$J,"Связано")</f>
        <v>0</v>
      </c>
      <c r="E3" s="6" t="n">
        <f aca="false">COUNTIFS(Связи!$B:$B,A3,Связи!$J:$J,"Нет элемента")</f>
        <v>0</v>
      </c>
      <c r="F3" s="6" t="n">
        <f aca="false">COUNTIFS(Связи!$B:$B,A3,Связи!$J:$J,"Требует решения")</f>
        <v>0</v>
      </c>
      <c r="G3" s="6" t="n">
        <f aca="false">COUNTIFS(Реестр!$B:$B,A3,Реестр!$L:$L,"⚠ сирота")</f>
        <v>0</v>
      </c>
      <c r="H3" s="6" t="n">
        <f aca="false">COUNTIFS(Реестр!$B:$B,A3,Реестр!$L:$L,"⚠ тупик")</f>
        <v>0</v>
      </c>
      <c r="I3" s="6" t="n">
        <f aca="false">COUNTIFS(Реестр!$B:$B,A3,Реестр!$I:$I,"Не сверено")</f>
        <v>7</v>
      </c>
    </row>
    <row r="4" customFormat="false" ht="15" hidden="false" customHeight="false" outlineLevel="0" collapsed="false">
      <c r="A4" s="5" t="s">
        <v>34</v>
      </c>
      <c r="B4" s="6" t="n">
        <f aca="false">COUNTIF(Реестр!$B:$B,A4)</f>
        <v>8</v>
      </c>
      <c r="C4" s="6" t="n">
        <f aca="false">COUNTIF(Связи!$B:$B,A4)</f>
        <v>25</v>
      </c>
      <c r="D4" s="6" t="n">
        <f aca="false">COUNTIFS(Связи!$B:$B,A4,Связи!$J:$J,"Связано")</f>
        <v>0</v>
      </c>
      <c r="E4" s="6" t="n">
        <f aca="false">COUNTIFS(Связи!$B:$B,A4,Связи!$J:$J,"Нет элемента")</f>
        <v>0</v>
      </c>
      <c r="F4" s="6" t="n">
        <f aca="false">COUNTIFS(Связи!$B:$B,A4,Связи!$J:$J,"Требует решения")</f>
        <v>0</v>
      </c>
      <c r="G4" s="6" t="n">
        <f aca="false">COUNTIFS(Реестр!$B:$B,A4,Реестр!$L:$L,"⚠ сирота")</f>
        <v>0</v>
      </c>
      <c r="H4" s="6" t="n">
        <f aca="false">COUNTIFS(Реестр!$B:$B,A4,Реестр!$L:$L,"⚠ тупик")</f>
        <v>0</v>
      </c>
      <c r="I4" s="6" t="n">
        <f aca="false">COUNTIFS(Реестр!$B:$B,A4,Реестр!$I:$I,"Не сверено")</f>
        <v>8</v>
      </c>
    </row>
    <row r="5" customFormat="false" ht="15" hidden="false" customHeight="false" outlineLevel="0" collapsed="false">
      <c r="A5" s="5" t="s">
        <v>35</v>
      </c>
      <c r="B5" s="6" t="n">
        <f aca="false">COUNTIF(Реестр!$B:$B,A5)</f>
        <v>9</v>
      </c>
      <c r="C5" s="6" t="n">
        <f aca="false">COUNTIF(Связи!$B:$B,A5)</f>
        <v>18</v>
      </c>
      <c r="D5" s="6" t="n">
        <f aca="false">COUNTIFS(Связи!$B:$B,A5,Связи!$J:$J,"Связано")</f>
        <v>0</v>
      </c>
      <c r="E5" s="6" t="n">
        <f aca="false">COUNTIFS(Связи!$B:$B,A5,Связи!$J:$J,"Нет элемента")</f>
        <v>0</v>
      </c>
      <c r="F5" s="6" t="n">
        <f aca="false">COUNTIFS(Связи!$B:$B,A5,Связи!$J:$J,"Требует решения")</f>
        <v>0</v>
      </c>
      <c r="G5" s="6" t="n">
        <f aca="false">COUNTIFS(Реестр!$B:$B,A5,Реестр!$L:$L,"⚠ сирота")</f>
        <v>0</v>
      </c>
      <c r="H5" s="6" t="n">
        <f aca="false">COUNTIFS(Реестр!$B:$B,A5,Реестр!$L:$L,"⚠ тупик")</f>
        <v>0</v>
      </c>
      <c r="I5" s="6" t="n">
        <f aca="false">COUNTIFS(Реестр!$B:$B,A5,Реестр!$I:$I,"Не сверено")</f>
        <v>9</v>
      </c>
    </row>
    <row r="6" customFormat="false" ht="15" hidden="false" customHeight="false" outlineLevel="0" collapsed="false">
      <c r="A6" s="5" t="s">
        <v>36</v>
      </c>
      <c r="B6" s="6" t="n">
        <f aca="false">COUNTIF(Реестр!$B:$B,A6)</f>
        <v>23</v>
      </c>
      <c r="C6" s="6" t="n">
        <f aca="false">COUNTIF(Связи!$B:$B,A6)</f>
        <v>42</v>
      </c>
      <c r="D6" s="6" t="n">
        <f aca="false">COUNTIFS(Связи!$B:$B,A6,Связи!$J:$J,"Связано")</f>
        <v>0</v>
      </c>
      <c r="E6" s="6" t="n">
        <f aca="false">COUNTIFS(Связи!$B:$B,A6,Связи!$J:$J,"Нет элемента")</f>
        <v>0</v>
      </c>
      <c r="F6" s="6" t="n">
        <f aca="false">COUNTIFS(Связи!$B:$B,A6,Связи!$J:$J,"Требует решения")</f>
        <v>0</v>
      </c>
      <c r="G6" s="6" t="n">
        <f aca="false">COUNTIFS(Реестр!$B:$B,A6,Реестр!$L:$L,"⚠ сирота")</f>
        <v>0</v>
      </c>
      <c r="H6" s="6" t="n">
        <f aca="false">COUNTIFS(Реестр!$B:$B,A6,Реестр!$L:$L,"⚠ тупик")</f>
        <v>0</v>
      </c>
      <c r="I6" s="6" t="n">
        <f aca="false">COUNTIFS(Реестр!$B:$B,A6,Реестр!$I:$I,"Не сверено")</f>
        <v>23</v>
      </c>
    </row>
    <row r="7" customFormat="false" ht="15" hidden="false" customHeight="false" outlineLevel="0" collapsed="false">
      <c r="A7" s="5" t="s">
        <v>37</v>
      </c>
      <c r="B7" s="6" t="n">
        <f aca="false">COUNTIF(Реестр!$B:$B,A7)</f>
        <v>41</v>
      </c>
      <c r="C7" s="6" t="n">
        <f aca="false">COUNTIF(Связи!$B:$B,A7)</f>
        <v>93</v>
      </c>
      <c r="D7" s="6" t="n">
        <f aca="false">COUNTIFS(Связи!$B:$B,A7,Связи!$J:$J,"Связано")</f>
        <v>0</v>
      </c>
      <c r="E7" s="6" t="n">
        <f aca="false">COUNTIFS(Связи!$B:$B,A7,Связи!$J:$J,"Нет элемента")</f>
        <v>0</v>
      </c>
      <c r="F7" s="6" t="n">
        <f aca="false">COUNTIFS(Связи!$B:$B,A7,Связи!$J:$J,"Требует решения")</f>
        <v>0</v>
      </c>
      <c r="G7" s="6" t="n">
        <f aca="false">COUNTIFS(Реестр!$B:$B,A7,Реестр!$L:$L,"⚠ сирота")</f>
        <v>0</v>
      </c>
      <c r="H7" s="6" t="n">
        <f aca="false">COUNTIFS(Реестр!$B:$B,A7,Реестр!$L:$L,"⚠ тупик")</f>
        <v>0</v>
      </c>
      <c r="I7" s="6" t="n">
        <f aca="false">COUNTIFS(Реестр!$B:$B,A7,Реестр!$I:$I,"Не сверено")</f>
        <v>41</v>
      </c>
    </row>
    <row r="8" customFormat="false" ht="15" hidden="false" customHeight="false" outlineLevel="0" collapsed="false">
      <c r="A8" s="5" t="s">
        <v>38</v>
      </c>
      <c r="B8" s="6" t="n">
        <f aca="false">COUNTIF(Реестр!$B:$B,A8)</f>
        <v>4</v>
      </c>
      <c r="C8" s="6" t="n">
        <f aca="false">COUNTIF(Связи!$B:$B,A8)</f>
        <v>6</v>
      </c>
      <c r="D8" s="6" t="n">
        <f aca="false">COUNTIFS(Связи!$B:$B,A8,Связи!$J:$J,"Связано")</f>
        <v>0</v>
      </c>
      <c r="E8" s="6" t="n">
        <f aca="false">COUNTIFS(Связи!$B:$B,A8,Связи!$J:$J,"Нет элемента")</f>
        <v>0</v>
      </c>
      <c r="F8" s="6" t="n">
        <f aca="false">COUNTIFS(Связи!$B:$B,A8,Связи!$J:$J,"Требует решения")</f>
        <v>0</v>
      </c>
      <c r="G8" s="6" t="n">
        <f aca="false">COUNTIFS(Реестр!$B:$B,A8,Реестр!$L:$L,"⚠ сирота")</f>
        <v>0</v>
      </c>
      <c r="H8" s="6" t="n">
        <f aca="false">COUNTIFS(Реестр!$B:$B,A8,Реестр!$L:$L,"⚠ тупик")</f>
        <v>0</v>
      </c>
      <c r="I8" s="6" t="n">
        <f aca="false">COUNTIFS(Реестр!$B:$B,A8,Реестр!$I:$I,"Не сверено")</f>
        <v>4</v>
      </c>
    </row>
    <row r="9" customFormat="false" ht="15" hidden="false" customHeight="false" outlineLevel="0" collapsed="false">
      <c r="A9" s="5" t="s">
        <v>39</v>
      </c>
      <c r="B9" s="6" t="n">
        <f aca="false">COUNTIF(Реестр!$B:$B,A9)</f>
        <v>1</v>
      </c>
      <c r="C9" s="6" t="n">
        <f aca="false">COUNTIF(Связи!$B:$B,A9)</f>
        <v>0</v>
      </c>
      <c r="D9" s="6" t="n">
        <f aca="false">COUNTIFS(Связи!$B:$B,A9,Связи!$J:$J,"Связано")</f>
        <v>0</v>
      </c>
      <c r="E9" s="6" t="n">
        <f aca="false">COUNTIFS(Связи!$B:$B,A9,Связи!$J:$J,"Нет элемента")</f>
        <v>0</v>
      </c>
      <c r="F9" s="6" t="n">
        <f aca="false">COUNTIFS(Связи!$B:$B,A9,Связи!$J:$J,"Требует решения")</f>
        <v>0</v>
      </c>
      <c r="G9" s="6" t="n">
        <f aca="false">COUNTIFS(Реестр!$B:$B,A9,Реестр!$L:$L,"⚠ сирота")</f>
        <v>0</v>
      </c>
      <c r="H9" s="6" t="n">
        <f aca="false">COUNTIFS(Реестр!$B:$B,A9,Реестр!$L:$L,"⚠ тупик")</f>
        <v>0</v>
      </c>
      <c r="I9" s="6" t="n">
        <f aca="false">COUNTIFS(Реестр!$B:$B,A9,Реестр!$I:$I,"Не сверено")</f>
        <v>1</v>
      </c>
    </row>
    <row r="10" customFormat="false" ht="15" hidden="false" customHeight="false" outlineLevel="0" collapsed="false">
      <c r="A10" s="7" t="s">
        <v>40</v>
      </c>
      <c r="B10" s="8" t="n">
        <f aca="false">SUM(B2:B9)</f>
        <v>95</v>
      </c>
      <c r="C10" s="8" t="n">
        <f aca="false">SUM(C2:C9)</f>
        <v>209</v>
      </c>
      <c r="D10" s="8" t="n">
        <f aca="false">SUM(D2:D9)</f>
        <v>0</v>
      </c>
      <c r="E10" s="8" t="n">
        <f aca="false">SUM(E2:E9)</f>
        <v>0</v>
      </c>
      <c r="F10" s="8" t="n">
        <f aca="false">SUM(F2:F9)</f>
        <v>0</v>
      </c>
      <c r="G10" s="8" t="n">
        <f aca="false">SUM(G2:G9)</f>
        <v>0</v>
      </c>
      <c r="H10" s="8" t="n">
        <f aca="false">SUM(H2:H9)</f>
        <v>0</v>
      </c>
      <c r="I10" s="8" t="n">
        <f aca="false">SUM(I2:I9)</f>
        <v>95</v>
      </c>
    </row>
    <row r="11" customFormat="false" ht="15" hidden="false" customHeight="false" outlineLevel="0" collapsed="false">
      <c r="A11" s="9" t="s">
        <v>41</v>
      </c>
      <c r="C11" s="9" t="n">
        <f aca="false">COUNTA(Навигация!$A:$A)-1</f>
        <v>53</v>
      </c>
    </row>
    <row r="12" customFormat="false" ht="15" hidden="false" customHeight="false" outlineLevel="0" collapsed="false">
      <c r="A12" s="9" t="s">
        <v>42</v>
      </c>
      <c r="C12" s="9" t="n">
        <f aca="false">COUNTIF(Навигация!$J:$J,"Связано")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32"/>
    <col collapsed="false" customWidth="true" hidden="false" outlineLevel="0" max="9" min="9" style="0" width="16"/>
    <col collapsed="false" customWidth="true" hidden="false" outlineLevel="0" max="11" min="10" style="0" width="11"/>
    <col collapsed="false" customWidth="true" hidden="false" outlineLevel="0" max="12" min="12" style="0" width="24"/>
    <col collapsed="false" customWidth="true" hidden="false" outlineLevel="0" max="13" min="13" style="0" width="40"/>
  </cols>
  <sheetData>
    <row r="1" customFormat="false" ht="31.5" hidden="false" customHeight="true" outlineLevel="0" collapsed="false">
      <c r="A1" s="4" t="s">
        <v>43</v>
      </c>
      <c r="B1" s="4" t="s">
        <v>23</v>
      </c>
      <c r="C1" s="4" t="s">
        <v>44</v>
      </c>
      <c r="D1" s="4" t="s">
        <v>45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53</v>
      </c>
      <c r="M1" s="4" t="s">
        <v>54</v>
      </c>
    </row>
    <row r="2" customFormat="false" ht="35.05" hidden="false" customHeight="false" outlineLevel="0" collapsed="false">
      <c r="A2" s="5" t="s">
        <v>55</v>
      </c>
      <c r="B2" s="5" t="s">
        <v>32</v>
      </c>
      <c r="C2" s="5" t="s">
        <v>56</v>
      </c>
      <c r="D2" s="5" t="s">
        <v>57</v>
      </c>
      <c r="E2" s="5" t="s">
        <v>58</v>
      </c>
      <c r="F2" s="5"/>
      <c r="G2" s="5" t="s">
        <v>59</v>
      </c>
      <c r="H2" s="10"/>
      <c r="I2" s="10" t="s">
        <v>31</v>
      </c>
      <c r="J2" s="6" t="n">
        <f aca="false">COUNTIF(Связи!$C:$C,A2)+IF(G2="",0,COUNTIF(Навигация!$B:$B,G2))</f>
        <v>20</v>
      </c>
      <c r="K2" s="6" t="n">
        <f aca="false">COUNTIF(Связи!$G:$G,A2)+COUNTIF(Навигация!$F:$F,A2)</f>
        <v>11</v>
      </c>
      <c r="L2" s="11" t="str">
        <f aca="false">IF(D2="Дизайн-система","вне графа",IF(AND(K2=0,OR(D2="Состояние",D2="Служебная")),"демо / вход по событию",IF(K2=0,"⚠ сирота",IF(J2=0,"⚠ тупик","ок"))))</f>
        <v>ок</v>
      </c>
      <c r="M2" s="5" t="s">
        <v>60</v>
      </c>
    </row>
    <row r="3" customFormat="false" ht="23.85" hidden="false" customHeight="false" outlineLevel="0" collapsed="false">
      <c r="A3" s="5" t="s">
        <v>61</v>
      </c>
      <c r="B3" s="5" t="s">
        <v>32</v>
      </c>
      <c r="C3" s="5" t="s">
        <v>62</v>
      </c>
      <c r="D3" s="5" t="s">
        <v>57</v>
      </c>
      <c r="E3" s="5" t="s">
        <v>58</v>
      </c>
      <c r="F3" s="5"/>
      <c r="G3" s="5" t="s">
        <v>59</v>
      </c>
      <c r="H3" s="10"/>
      <c r="I3" s="10" t="s">
        <v>31</v>
      </c>
      <c r="J3" s="6" t="n">
        <f aca="false">COUNTIF(Связи!$C:$C,A3)+IF(G3="",0,COUNTIF(Навигация!$B:$B,G3))</f>
        <v>16</v>
      </c>
      <c r="K3" s="6" t="n">
        <f aca="false">COUNTIF(Связи!$G:$G,A3)+COUNTIF(Навигация!$F:$F,A3)</f>
        <v>4</v>
      </c>
      <c r="L3" s="11" t="str">
        <f aca="false">IF(D3="Дизайн-система","вне графа",IF(AND(K3=0,OR(D3="Состояние",D3="Служебная")),"демо / вход по событию",IF(K3=0,"⚠ сирота",IF(J3=0,"⚠ тупик","ок"))))</f>
        <v>ок</v>
      </c>
      <c r="M3" s="5" t="s">
        <v>63</v>
      </c>
    </row>
    <row r="4" customFormat="false" ht="15" hidden="false" customHeight="false" outlineLevel="0" collapsed="false">
      <c r="A4" s="5" t="s">
        <v>64</v>
      </c>
      <c r="B4" s="5" t="s">
        <v>33</v>
      </c>
      <c r="C4" s="5" t="s">
        <v>65</v>
      </c>
      <c r="D4" s="5" t="s">
        <v>57</v>
      </c>
      <c r="E4" s="5" t="s">
        <v>58</v>
      </c>
      <c r="F4" s="5"/>
      <c r="G4" s="5"/>
      <c r="H4" s="10"/>
      <c r="I4" s="10" t="s">
        <v>31</v>
      </c>
      <c r="J4" s="6" t="n">
        <f aca="false">COUNTIF(Связи!$C:$C,A4)+IF(G4="",0,COUNTIF(Навигация!$B:$B,G4))</f>
        <v>2</v>
      </c>
      <c r="K4" s="6" t="n">
        <f aca="false">COUNTIF(Связи!$G:$G,A4)+COUNTIF(Навигация!$F:$F,A4)</f>
        <v>3</v>
      </c>
      <c r="L4" s="11" t="str">
        <f aca="false">IF(D4="Дизайн-система","вне графа",IF(AND(K4=0,OR(D4="Состояние",D4="Служебная")),"демо / вход по событию",IF(K4=0,"⚠ сирота",IF(J4=0,"⚠ тупик","ок"))))</f>
        <v>ок</v>
      </c>
      <c r="M4" s="5" t="s">
        <v>66</v>
      </c>
    </row>
    <row r="5" customFormat="false" ht="15" hidden="false" customHeight="false" outlineLevel="0" collapsed="false">
      <c r="A5" s="5" t="s">
        <v>67</v>
      </c>
      <c r="B5" s="5" t="s">
        <v>33</v>
      </c>
      <c r="C5" s="5" t="s">
        <v>68</v>
      </c>
      <c r="D5" s="5" t="s">
        <v>57</v>
      </c>
      <c r="E5" s="5" t="s">
        <v>58</v>
      </c>
      <c r="F5" s="5"/>
      <c r="G5" s="5"/>
      <c r="H5" s="10"/>
      <c r="I5" s="10" t="s">
        <v>31</v>
      </c>
      <c r="J5" s="6" t="n">
        <f aca="false">COUNTIF(Связи!$C:$C,A5)+IF(G5="",0,COUNTIF(Навигация!$B:$B,G5))</f>
        <v>3</v>
      </c>
      <c r="K5" s="6" t="n">
        <f aca="false">COUNTIF(Связи!$G:$G,A5)+COUNTIF(Навигация!$F:$F,A5)</f>
        <v>1</v>
      </c>
      <c r="L5" s="11" t="str">
        <f aca="false">IF(D5="Дизайн-система","вне графа",IF(AND(K5=0,OR(D5="Состояние",D5="Служебная")),"демо / вход по событию",IF(K5=0,"⚠ сирота",IF(J5=0,"⚠ тупик","ок"))))</f>
        <v>ок</v>
      </c>
      <c r="M5" s="5" t="s">
        <v>66</v>
      </c>
    </row>
    <row r="6" customFormat="false" ht="15" hidden="false" customHeight="false" outlineLevel="0" collapsed="false">
      <c r="A6" s="5" t="s">
        <v>69</v>
      </c>
      <c r="B6" s="5" t="s">
        <v>33</v>
      </c>
      <c r="C6" s="5" t="s">
        <v>70</v>
      </c>
      <c r="D6" s="5" t="s">
        <v>57</v>
      </c>
      <c r="E6" s="5" t="s">
        <v>58</v>
      </c>
      <c r="F6" s="5"/>
      <c r="G6" s="5"/>
      <c r="H6" s="10"/>
      <c r="I6" s="10" t="s">
        <v>31</v>
      </c>
      <c r="J6" s="6" t="n">
        <f aca="false">COUNTIF(Связи!$C:$C,A6)+IF(G6="",0,COUNTIF(Навигация!$B:$B,G6))</f>
        <v>1</v>
      </c>
      <c r="K6" s="6" t="n">
        <f aca="false">COUNTIF(Связи!$G:$G,A6)+COUNTIF(Навигация!$F:$F,A6)</f>
        <v>1</v>
      </c>
      <c r="L6" s="11" t="str">
        <f aca="false">IF(D6="Дизайн-система","вне графа",IF(AND(K6=0,OR(D6="Состояние",D6="Служебная")),"демо / вход по событию",IF(K6=0,"⚠ сирота",IF(J6=0,"⚠ тупик","ок"))))</f>
        <v>ок</v>
      </c>
      <c r="M6" s="5" t="s">
        <v>66</v>
      </c>
    </row>
    <row r="7" customFormat="false" ht="15" hidden="false" customHeight="false" outlineLevel="0" collapsed="false">
      <c r="A7" s="5" t="s">
        <v>71</v>
      </c>
      <c r="B7" s="5" t="s">
        <v>33</v>
      </c>
      <c r="C7" s="5" t="s">
        <v>72</v>
      </c>
      <c r="D7" s="5" t="s">
        <v>57</v>
      </c>
      <c r="E7" s="5" t="s">
        <v>73</v>
      </c>
      <c r="F7" s="5"/>
      <c r="G7" s="5"/>
      <c r="H7" s="10"/>
      <c r="I7" s="10" t="s">
        <v>31</v>
      </c>
      <c r="J7" s="6" t="n">
        <f aca="false">COUNTIF(Связи!$C:$C,A7)+IF(G7="",0,COUNTIF(Навигация!$B:$B,G7))</f>
        <v>5</v>
      </c>
      <c r="K7" s="6" t="n">
        <f aca="false">COUNTIF(Связи!$G:$G,A7)+COUNTIF(Навигация!$F:$F,A7)</f>
        <v>9</v>
      </c>
      <c r="L7" s="11" t="str">
        <f aca="false">IF(D7="Дизайн-система","вне графа",IF(AND(K7=0,OR(D7="Состояние",D7="Служебная")),"демо / вход по событию",IF(K7=0,"⚠ сирота",IF(J7=0,"⚠ тупик","ок"))))</f>
        <v>ок</v>
      </c>
      <c r="M7" s="5" t="s">
        <v>74</v>
      </c>
    </row>
    <row r="8" customFormat="false" ht="15" hidden="false" customHeight="false" outlineLevel="0" collapsed="false">
      <c r="A8" s="5" t="s">
        <v>75</v>
      </c>
      <c r="B8" s="5" t="s">
        <v>33</v>
      </c>
      <c r="C8" s="5" t="s">
        <v>76</v>
      </c>
      <c r="D8" s="5" t="s">
        <v>57</v>
      </c>
      <c r="E8" s="5" t="s">
        <v>73</v>
      </c>
      <c r="F8" s="5"/>
      <c r="G8" s="5"/>
      <c r="H8" s="10"/>
      <c r="I8" s="10" t="s">
        <v>31</v>
      </c>
      <c r="J8" s="6" t="n">
        <f aca="false">COUNTIF(Связи!$C:$C,A8)+IF(G8="",0,COUNTIF(Навигация!$B:$B,G8))</f>
        <v>2</v>
      </c>
      <c r="K8" s="6" t="n">
        <f aca="false">COUNTIF(Связи!$G:$G,A8)+COUNTIF(Навигация!$F:$F,A8)</f>
        <v>1</v>
      </c>
      <c r="L8" s="11" t="str">
        <f aca="false">IF(D8="Дизайн-система","вне графа",IF(AND(K8=0,OR(D8="Состояние",D8="Служебная")),"демо / вход по событию",IF(K8=0,"⚠ сирота",IF(J8=0,"⚠ тупик","ок"))))</f>
        <v>ок</v>
      </c>
      <c r="M8" s="5"/>
    </row>
    <row r="9" customFormat="false" ht="15" hidden="false" customHeight="false" outlineLevel="0" collapsed="false">
      <c r="A9" s="5" t="s">
        <v>77</v>
      </c>
      <c r="B9" s="5" t="s">
        <v>33</v>
      </c>
      <c r="C9" s="5" t="s">
        <v>78</v>
      </c>
      <c r="D9" s="5" t="s">
        <v>57</v>
      </c>
      <c r="E9" s="5" t="s">
        <v>73</v>
      </c>
      <c r="F9" s="5"/>
      <c r="G9" s="5"/>
      <c r="H9" s="10"/>
      <c r="I9" s="10" t="s">
        <v>31</v>
      </c>
      <c r="J9" s="6" t="n">
        <f aca="false">COUNTIF(Связи!$C:$C,A9)+IF(G9="",0,COUNTIF(Навигация!$B:$B,G9))</f>
        <v>2</v>
      </c>
      <c r="K9" s="6" t="n">
        <f aca="false">COUNTIF(Связи!$G:$G,A9)+COUNTIF(Навигация!$F:$F,A9)</f>
        <v>1</v>
      </c>
      <c r="L9" s="11" t="str">
        <f aca="false">IF(D9="Дизайн-система","вне графа",IF(AND(K9=0,OR(D9="Состояние",D9="Служебная")),"демо / вход по событию",IF(K9=0,"⚠ сирота",IF(J9=0,"⚠ тупик","ок"))))</f>
        <v>ок</v>
      </c>
      <c r="M9" s="5"/>
    </row>
    <row r="10" customFormat="false" ht="15" hidden="false" customHeight="false" outlineLevel="0" collapsed="false">
      <c r="A10" s="5" t="s">
        <v>79</v>
      </c>
      <c r="B10" s="5" t="s">
        <v>33</v>
      </c>
      <c r="C10" s="5" t="s">
        <v>80</v>
      </c>
      <c r="D10" s="5" t="s">
        <v>57</v>
      </c>
      <c r="E10" s="5" t="s">
        <v>73</v>
      </c>
      <c r="F10" s="5"/>
      <c r="G10" s="5"/>
      <c r="H10" s="10"/>
      <c r="I10" s="10" t="s">
        <v>31</v>
      </c>
      <c r="J10" s="6" t="n">
        <f aca="false">COUNTIF(Связи!$C:$C,A10)+IF(G10="",0,COUNTIF(Навигация!$B:$B,G10))</f>
        <v>2</v>
      </c>
      <c r="K10" s="6" t="n">
        <f aca="false">COUNTIF(Связи!$G:$G,A10)+COUNTIF(Навигация!$F:$F,A10)</f>
        <v>2</v>
      </c>
      <c r="L10" s="11" t="str">
        <f aca="false">IF(D10="Дизайн-система","вне графа",IF(AND(K10=0,OR(D10="Состояние",D10="Служебная")),"демо / вход по событию",IF(K10=0,"⚠ сирота",IF(J10=0,"⚠ тупик","ок"))))</f>
        <v>ок</v>
      </c>
      <c r="M10" s="5" t="s">
        <v>81</v>
      </c>
    </row>
    <row r="11" customFormat="false" ht="23.85" hidden="false" customHeight="false" outlineLevel="0" collapsed="false">
      <c r="A11" s="5" t="s">
        <v>82</v>
      </c>
      <c r="B11" s="5" t="s">
        <v>34</v>
      </c>
      <c r="C11" s="5" t="s">
        <v>83</v>
      </c>
      <c r="D11" s="5" t="s">
        <v>57</v>
      </c>
      <c r="E11" s="5" t="s">
        <v>58</v>
      </c>
      <c r="F11" s="5"/>
      <c r="G11" s="5" t="s">
        <v>84</v>
      </c>
      <c r="H11" s="10"/>
      <c r="I11" s="10" t="s">
        <v>31</v>
      </c>
      <c r="J11" s="6" t="n">
        <f aca="false">COUNTIF(Связи!$C:$C,A11)+IF(G11="",0,COUNTIF(Навигация!$B:$B,G11))</f>
        <v>8</v>
      </c>
      <c r="K11" s="6" t="n">
        <f aca="false">COUNTIF(Связи!$G:$G,A11)+COUNTIF(Навигация!$F:$F,A11)</f>
        <v>13</v>
      </c>
      <c r="L11" s="11" t="str">
        <f aca="false">IF(D11="Дизайн-система","вне графа",IF(AND(K11=0,OR(D11="Состояние",D11="Служебная")),"демо / вход по событию",IF(K11=0,"⚠ сирота",IF(J11=0,"⚠ тупик","ок"))))</f>
        <v>ок</v>
      </c>
      <c r="M11" s="5" t="s">
        <v>85</v>
      </c>
    </row>
    <row r="12" customFormat="false" ht="15" hidden="false" customHeight="false" outlineLevel="0" collapsed="false">
      <c r="A12" s="5" t="s">
        <v>86</v>
      </c>
      <c r="B12" s="5" t="s">
        <v>34</v>
      </c>
      <c r="C12" s="5" t="s">
        <v>87</v>
      </c>
      <c r="D12" s="5" t="s">
        <v>57</v>
      </c>
      <c r="E12" s="5" t="s">
        <v>58</v>
      </c>
      <c r="F12" s="5"/>
      <c r="G12" s="5" t="s">
        <v>84</v>
      </c>
      <c r="H12" s="10"/>
      <c r="I12" s="10" t="s">
        <v>31</v>
      </c>
      <c r="J12" s="6" t="n">
        <f aca="false">COUNTIF(Связи!$C:$C,A12)+IF(G12="",0,COUNTIF(Навигация!$B:$B,G12))</f>
        <v>8</v>
      </c>
      <c r="K12" s="6" t="n">
        <f aca="false">COUNTIF(Связи!$G:$G,A12)+COUNTIF(Навигация!$F:$F,A12)</f>
        <v>4</v>
      </c>
      <c r="L12" s="11" t="str">
        <f aca="false">IF(D12="Дизайн-система","вне графа",IF(AND(K12=0,OR(D12="Состояние",D12="Служебная")),"демо / вход по событию",IF(K12=0,"⚠ сирота",IF(J12=0,"⚠ тупик","ок"))))</f>
        <v>ок</v>
      </c>
      <c r="M12" s="5"/>
    </row>
    <row r="13" customFormat="false" ht="15" hidden="false" customHeight="false" outlineLevel="0" collapsed="false">
      <c r="A13" s="5" t="s">
        <v>88</v>
      </c>
      <c r="B13" s="5" t="s">
        <v>34</v>
      </c>
      <c r="C13" s="5" t="s">
        <v>89</v>
      </c>
      <c r="D13" s="5" t="s">
        <v>57</v>
      </c>
      <c r="E13" s="5" t="s">
        <v>58</v>
      </c>
      <c r="F13" s="5"/>
      <c r="G13" s="5" t="s">
        <v>84</v>
      </c>
      <c r="H13" s="10"/>
      <c r="I13" s="10" t="s">
        <v>31</v>
      </c>
      <c r="J13" s="6" t="n">
        <f aca="false">COUNTIF(Связи!$C:$C,A13)+IF(G13="",0,COUNTIF(Навигация!$B:$B,G13))</f>
        <v>9</v>
      </c>
      <c r="K13" s="6" t="n">
        <f aca="false">COUNTIF(Связи!$G:$G,A13)+COUNTIF(Навигация!$F:$F,A13)</f>
        <v>8</v>
      </c>
      <c r="L13" s="11" t="str">
        <f aca="false">IF(D13="Дизайн-система","вне графа",IF(AND(K13=0,OR(D13="Состояние",D13="Служебная")),"демо / вход по событию",IF(K13=0,"⚠ сирота",IF(J13=0,"⚠ тупик","ок"))))</f>
        <v>ок</v>
      </c>
      <c r="M13" s="5" t="s">
        <v>90</v>
      </c>
    </row>
    <row r="14" customFormat="false" ht="15" hidden="false" customHeight="false" outlineLevel="0" collapsed="false">
      <c r="A14" s="5" t="s">
        <v>91</v>
      </c>
      <c r="B14" s="5" t="s">
        <v>34</v>
      </c>
      <c r="C14" s="5" t="s">
        <v>92</v>
      </c>
      <c r="D14" s="5" t="s">
        <v>57</v>
      </c>
      <c r="E14" s="5" t="s">
        <v>58</v>
      </c>
      <c r="F14" s="5"/>
      <c r="G14" s="5" t="s">
        <v>84</v>
      </c>
      <c r="H14" s="10"/>
      <c r="I14" s="10" t="s">
        <v>31</v>
      </c>
      <c r="J14" s="6" t="n">
        <f aca="false">COUNTIF(Связи!$C:$C,A14)+IF(G14="",0,COUNTIF(Навигация!$B:$B,G14))</f>
        <v>12</v>
      </c>
      <c r="K14" s="6" t="n">
        <f aca="false">COUNTIF(Связи!$G:$G,A14)+COUNTIF(Навигация!$F:$F,A14)</f>
        <v>4</v>
      </c>
      <c r="L14" s="11" t="str">
        <f aca="false">IF(D14="Дизайн-система","вне графа",IF(AND(K14=0,OR(D14="Состояние",D14="Служебная")),"демо / вход по событию",IF(K14=0,"⚠ сирота",IF(J14=0,"⚠ тупик","ок"))))</f>
        <v>ок</v>
      </c>
      <c r="M14" s="5"/>
    </row>
    <row r="15" customFormat="false" ht="15" hidden="false" customHeight="false" outlineLevel="0" collapsed="false">
      <c r="A15" s="5" t="s">
        <v>93</v>
      </c>
      <c r="B15" s="5" t="s">
        <v>34</v>
      </c>
      <c r="C15" s="5" t="s">
        <v>94</v>
      </c>
      <c r="D15" s="5" t="s">
        <v>57</v>
      </c>
      <c r="E15" s="5" t="s">
        <v>58</v>
      </c>
      <c r="F15" s="5"/>
      <c r="G15" s="5"/>
      <c r="H15" s="10"/>
      <c r="I15" s="10" t="s">
        <v>31</v>
      </c>
      <c r="J15" s="6" t="n">
        <f aca="false">COUNTIF(Связи!$C:$C,A15)+IF(G15="",0,COUNTIF(Навигация!$B:$B,G15))</f>
        <v>2</v>
      </c>
      <c r="K15" s="6" t="n">
        <f aca="false">COUNTIF(Связи!$G:$G,A15)+COUNTIF(Навигация!$F:$F,A15)</f>
        <v>2</v>
      </c>
      <c r="L15" s="11" t="str">
        <f aca="false">IF(D15="Дизайн-система","вне графа",IF(AND(K15=0,OR(D15="Состояние",D15="Служебная")),"демо / вход по событию",IF(K15=0,"⚠ сирота",IF(J15=0,"⚠ тупик","ок"))))</f>
        <v>ок</v>
      </c>
      <c r="M15" s="5" t="s">
        <v>95</v>
      </c>
    </row>
    <row r="16" customFormat="false" ht="15" hidden="false" customHeight="false" outlineLevel="0" collapsed="false">
      <c r="A16" s="5" t="s">
        <v>96</v>
      </c>
      <c r="B16" s="5" t="s">
        <v>34</v>
      </c>
      <c r="C16" s="5" t="s">
        <v>97</v>
      </c>
      <c r="D16" s="5" t="s">
        <v>57</v>
      </c>
      <c r="E16" s="5" t="s">
        <v>58</v>
      </c>
      <c r="F16" s="5"/>
      <c r="G16" s="5"/>
      <c r="H16" s="10"/>
      <c r="I16" s="10" t="s">
        <v>31</v>
      </c>
      <c r="J16" s="6" t="n">
        <f aca="false">COUNTIF(Связи!$C:$C,A16)+IF(G16="",0,COUNTIF(Навигация!$B:$B,G16))</f>
        <v>2</v>
      </c>
      <c r="K16" s="6" t="n">
        <f aca="false">COUNTIF(Связи!$G:$G,A16)+COUNTIF(Навигация!$F:$F,A16)</f>
        <v>1</v>
      </c>
      <c r="L16" s="11" t="str">
        <f aca="false">IF(D16="Дизайн-система","вне графа",IF(AND(K16=0,OR(D16="Состояние",D16="Служебная")),"демо / вход по событию",IF(K16=0,"⚠ сирота",IF(J16=0,"⚠ тупик","ок"))))</f>
        <v>ок</v>
      </c>
      <c r="M16" s="5" t="s">
        <v>95</v>
      </c>
    </row>
    <row r="17" customFormat="false" ht="15" hidden="false" customHeight="false" outlineLevel="0" collapsed="false">
      <c r="A17" s="5" t="s">
        <v>98</v>
      </c>
      <c r="B17" s="5" t="s">
        <v>34</v>
      </c>
      <c r="C17" s="5" t="s">
        <v>99</v>
      </c>
      <c r="D17" s="5" t="s">
        <v>100</v>
      </c>
      <c r="E17" s="5" t="s">
        <v>58</v>
      </c>
      <c r="F17" s="5" t="s">
        <v>88</v>
      </c>
      <c r="G17" s="5"/>
      <c r="H17" s="10"/>
      <c r="I17" s="10" t="s">
        <v>31</v>
      </c>
      <c r="J17" s="6" t="n">
        <f aca="false">COUNTIF(Связи!$C:$C,A17)+IF(G17="",0,COUNTIF(Навигация!$B:$B,G17))</f>
        <v>2</v>
      </c>
      <c r="K17" s="6" t="n">
        <f aca="false">COUNTIF(Связи!$G:$G,A17)+COUNTIF(Навигация!$F:$F,A17)</f>
        <v>2</v>
      </c>
      <c r="L17" s="11" t="str">
        <f aca="false">IF(D17="Дизайн-система","вне графа",IF(AND(K17=0,OR(D17="Состояние",D17="Служебная")),"демо / вход по событию",IF(K17=0,"⚠ сирота",IF(J17=0,"⚠ тупик","ок"))))</f>
        <v>ок</v>
      </c>
      <c r="M17" s="5" t="s">
        <v>101</v>
      </c>
    </row>
    <row r="18" customFormat="false" ht="23.85" hidden="false" customHeight="false" outlineLevel="0" collapsed="false">
      <c r="A18" s="5" t="s">
        <v>102</v>
      </c>
      <c r="B18" s="5" t="s">
        <v>34</v>
      </c>
      <c r="C18" s="5" t="s">
        <v>103</v>
      </c>
      <c r="D18" s="5" t="s">
        <v>100</v>
      </c>
      <c r="E18" s="5" t="s">
        <v>58</v>
      </c>
      <c r="F18" s="5" t="s">
        <v>88</v>
      </c>
      <c r="G18" s="5"/>
      <c r="H18" s="10"/>
      <c r="I18" s="10" t="s">
        <v>31</v>
      </c>
      <c r="J18" s="6" t="n">
        <f aca="false">COUNTIF(Связи!$C:$C,A18)+IF(G18="",0,COUNTIF(Навигация!$B:$B,G18))</f>
        <v>2</v>
      </c>
      <c r="K18" s="6" t="n">
        <f aca="false">COUNTIF(Связи!$G:$G,A18)+COUNTIF(Навигация!$F:$F,A18)</f>
        <v>1</v>
      </c>
      <c r="L18" s="11" t="str">
        <f aca="false">IF(D18="Дизайн-система","вне графа",IF(AND(K18=0,OR(D18="Состояние",D18="Служебная")),"демо / вход по событию",IF(K18=0,"⚠ сирота",IF(J18=0,"⚠ тупик","ок"))))</f>
        <v>ок</v>
      </c>
      <c r="M18" s="5" t="s">
        <v>104</v>
      </c>
    </row>
    <row r="19" customFormat="false" ht="15" hidden="false" customHeight="false" outlineLevel="0" collapsed="false">
      <c r="A19" s="5" t="s">
        <v>105</v>
      </c>
      <c r="B19" s="5" t="s">
        <v>35</v>
      </c>
      <c r="C19" s="5" t="s">
        <v>106</v>
      </c>
      <c r="D19" s="5" t="s">
        <v>57</v>
      </c>
      <c r="E19" s="5" t="s">
        <v>58</v>
      </c>
      <c r="F19" s="5"/>
      <c r="G19" s="5" t="s">
        <v>107</v>
      </c>
      <c r="H19" s="10"/>
      <c r="I19" s="10" t="s">
        <v>31</v>
      </c>
      <c r="J19" s="6" t="n">
        <f aca="false">COUNTIF(Связи!$C:$C,A19)+IF(G19="",0,COUNTIF(Навигация!$B:$B,G19))</f>
        <v>10</v>
      </c>
      <c r="K19" s="6" t="n">
        <f aca="false">COUNTIF(Связи!$G:$G,A19)+COUNTIF(Навигация!$F:$F,A19)</f>
        <v>6</v>
      </c>
      <c r="L19" s="11" t="str">
        <f aca="false">IF(D19="Дизайн-система","вне графа",IF(AND(K19=0,OR(D19="Состояние",D19="Служебная")),"демо / вход по событию",IF(K19=0,"⚠ сирота",IF(J19=0,"⚠ тупик","ок"))))</f>
        <v>ок</v>
      </c>
      <c r="M19" s="5"/>
    </row>
    <row r="20" customFormat="false" ht="15" hidden="false" customHeight="false" outlineLevel="0" collapsed="false">
      <c r="A20" s="5" t="s">
        <v>108</v>
      </c>
      <c r="B20" s="5" t="s">
        <v>35</v>
      </c>
      <c r="C20" s="5" t="s">
        <v>109</v>
      </c>
      <c r="D20" s="5" t="s">
        <v>57</v>
      </c>
      <c r="E20" s="5" t="s">
        <v>58</v>
      </c>
      <c r="F20" s="5"/>
      <c r="G20" s="5" t="s">
        <v>107</v>
      </c>
      <c r="H20" s="10"/>
      <c r="I20" s="10" t="s">
        <v>31</v>
      </c>
      <c r="J20" s="6" t="n">
        <f aca="false">COUNTIF(Связи!$C:$C,A20)+IF(G20="",0,COUNTIF(Навигация!$B:$B,G20))</f>
        <v>11</v>
      </c>
      <c r="K20" s="6" t="n">
        <f aca="false">COUNTIF(Связи!$G:$G,A20)+COUNTIF(Навигация!$F:$F,A20)</f>
        <v>3</v>
      </c>
      <c r="L20" s="11" t="str">
        <f aca="false">IF(D20="Дизайн-система","вне графа",IF(AND(K20=0,OR(D20="Состояние",D20="Служебная")),"демо / вход по событию",IF(K20=0,"⚠ сирота",IF(J20=0,"⚠ тупик","ок"))))</f>
        <v>ок</v>
      </c>
      <c r="M20" s="5"/>
    </row>
    <row r="21" customFormat="false" ht="15" hidden="false" customHeight="false" outlineLevel="0" collapsed="false">
      <c r="A21" s="5" t="s">
        <v>110</v>
      </c>
      <c r="B21" s="5" t="s">
        <v>35</v>
      </c>
      <c r="C21" s="5" t="s">
        <v>111</v>
      </c>
      <c r="D21" s="5" t="s">
        <v>57</v>
      </c>
      <c r="E21" s="5" t="s">
        <v>58</v>
      </c>
      <c r="F21" s="5"/>
      <c r="G21" s="5" t="s">
        <v>107</v>
      </c>
      <c r="H21" s="10"/>
      <c r="I21" s="10" t="s">
        <v>31</v>
      </c>
      <c r="J21" s="6" t="n">
        <f aca="false">COUNTIF(Связи!$C:$C,A21)+IF(G21="",0,COUNTIF(Навигация!$B:$B,G21))</f>
        <v>12</v>
      </c>
      <c r="K21" s="6" t="n">
        <f aca="false">COUNTIF(Связи!$G:$G,A21)+COUNTIF(Навигация!$F:$F,A21)</f>
        <v>5</v>
      </c>
      <c r="L21" s="11" t="str">
        <f aca="false">IF(D21="Дизайн-система","вне графа",IF(AND(K21=0,OR(D21="Состояние",D21="Служебная")),"демо / вход по событию",IF(K21=0,"⚠ сирота",IF(J21=0,"⚠ тупик","ок"))))</f>
        <v>ок</v>
      </c>
      <c r="M21" s="5"/>
    </row>
    <row r="22" customFormat="false" ht="15" hidden="false" customHeight="false" outlineLevel="0" collapsed="false">
      <c r="A22" s="5" t="s">
        <v>112</v>
      </c>
      <c r="B22" s="5" t="s">
        <v>35</v>
      </c>
      <c r="C22" s="5" t="s">
        <v>113</v>
      </c>
      <c r="D22" s="5" t="s">
        <v>57</v>
      </c>
      <c r="E22" s="5" t="s">
        <v>58</v>
      </c>
      <c r="F22" s="5" t="s">
        <v>110</v>
      </c>
      <c r="G22" s="5"/>
      <c r="H22" s="10"/>
      <c r="I22" s="10" t="s">
        <v>31</v>
      </c>
      <c r="J22" s="6" t="n">
        <f aca="false">COUNTIF(Связи!$C:$C,A22)+IF(G22="",0,COUNTIF(Навигация!$B:$B,G22))</f>
        <v>2</v>
      </c>
      <c r="K22" s="6" t="n">
        <f aca="false">COUNTIF(Связи!$G:$G,A22)+COUNTIF(Навигация!$F:$F,A22)</f>
        <v>1</v>
      </c>
      <c r="L22" s="11" t="str">
        <f aca="false">IF(D22="Дизайн-система","вне графа",IF(AND(K22=0,OR(D22="Состояние",D22="Служебная")),"демо / вход по событию",IF(K22=0,"⚠ сирота",IF(J22=0,"⚠ тупик","ок"))))</f>
        <v>ок</v>
      </c>
      <c r="M22" s="5" t="s">
        <v>114</v>
      </c>
    </row>
    <row r="23" customFormat="false" ht="15" hidden="false" customHeight="false" outlineLevel="0" collapsed="false">
      <c r="A23" s="5" t="s">
        <v>115</v>
      </c>
      <c r="B23" s="5" t="s">
        <v>35</v>
      </c>
      <c r="C23" s="5" t="s">
        <v>116</v>
      </c>
      <c r="D23" s="5" t="s">
        <v>100</v>
      </c>
      <c r="E23" s="5" t="s">
        <v>58</v>
      </c>
      <c r="F23" s="5" t="s">
        <v>110</v>
      </c>
      <c r="G23" s="5"/>
      <c r="H23" s="10"/>
      <c r="I23" s="10" t="s">
        <v>31</v>
      </c>
      <c r="J23" s="6" t="n">
        <f aca="false">COUNTIF(Связи!$C:$C,A23)+IF(G23="",0,COUNTIF(Навигация!$B:$B,G23))</f>
        <v>2</v>
      </c>
      <c r="K23" s="6" t="n">
        <f aca="false">COUNTIF(Связи!$G:$G,A23)+COUNTIF(Навигация!$F:$F,A23)</f>
        <v>1</v>
      </c>
      <c r="L23" s="11" t="str">
        <f aca="false">IF(D23="Дизайн-система","вне графа",IF(AND(K23=0,OR(D23="Состояние",D23="Служебная")),"демо / вход по событию",IF(K23=0,"⚠ сирота",IF(J23=0,"⚠ тупик","ок"))))</f>
        <v>ок</v>
      </c>
      <c r="M23" s="5"/>
    </row>
    <row r="24" customFormat="false" ht="15" hidden="false" customHeight="false" outlineLevel="0" collapsed="false">
      <c r="A24" s="5" t="s">
        <v>117</v>
      </c>
      <c r="B24" s="5" t="s">
        <v>35</v>
      </c>
      <c r="C24" s="5" t="s">
        <v>118</v>
      </c>
      <c r="D24" s="5" t="s">
        <v>100</v>
      </c>
      <c r="E24" s="5" t="s">
        <v>58</v>
      </c>
      <c r="F24" s="5" t="s">
        <v>108</v>
      </c>
      <c r="G24" s="5"/>
      <c r="H24" s="10"/>
      <c r="I24" s="10" t="s">
        <v>31</v>
      </c>
      <c r="J24" s="6" t="n">
        <f aca="false">COUNTIF(Связи!$C:$C,A24)+IF(G24="",0,COUNTIF(Навигация!$B:$B,G24))</f>
        <v>2</v>
      </c>
      <c r="K24" s="6" t="n">
        <f aca="false">COUNTIF(Связи!$G:$G,A24)+COUNTIF(Навигация!$F:$F,A24)</f>
        <v>1</v>
      </c>
      <c r="L24" s="11" t="str">
        <f aca="false">IF(D24="Дизайн-система","вне графа",IF(AND(K24=0,OR(D24="Состояние",D24="Служебная")),"демо / вход по событию",IF(K24=0,"⚠ сирота",IF(J24=0,"⚠ тупик","ок"))))</f>
        <v>ок</v>
      </c>
      <c r="M24" s="5" t="s">
        <v>119</v>
      </c>
    </row>
    <row r="25" customFormat="false" ht="15" hidden="false" customHeight="false" outlineLevel="0" collapsed="false">
      <c r="A25" s="5" t="s">
        <v>120</v>
      </c>
      <c r="B25" s="5" t="s">
        <v>35</v>
      </c>
      <c r="C25" s="5" t="s">
        <v>121</v>
      </c>
      <c r="D25" s="5" t="s">
        <v>57</v>
      </c>
      <c r="E25" s="5" t="s">
        <v>58</v>
      </c>
      <c r="F25" s="5"/>
      <c r="G25" s="5" t="s">
        <v>107</v>
      </c>
      <c r="H25" s="10"/>
      <c r="I25" s="10" t="s">
        <v>31</v>
      </c>
      <c r="J25" s="6" t="n">
        <f aca="false">COUNTIF(Связи!$C:$C,A25)+IF(G25="",0,COUNTIF(Навигация!$B:$B,G25))</f>
        <v>9</v>
      </c>
      <c r="K25" s="6" t="n">
        <f aca="false">COUNTIF(Связи!$G:$G,A25)+COUNTIF(Навигация!$F:$F,A25)</f>
        <v>2</v>
      </c>
      <c r="L25" s="11" t="str">
        <f aca="false">IF(D25="Дизайн-система","вне графа",IF(AND(K25=0,OR(D25="Состояние",D25="Служебная")),"демо / вход по событию",IF(K25=0,"⚠ сирота",IF(J25=0,"⚠ тупик","ок"))))</f>
        <v>ок</v>
      </c>
      <c r="M25" s="5"/>
    </row>
    <row r="26" customFormat="false" ht="15" hidden="false" customHeight="false" outlineLevel="0" collapsed="false">
      <c r="A26" s="5" t="s">
        <v>122</v>
      </c>
      <c r="B26" s="5" t="s">
        <v>35</v>
      </c>
      <c r="C26" s="5" t="s">
        <v>123</v>
      </c>
      <c r="D26" s="5" t="s">
        <v>57</v>
      </c>
      <c r="E26" s="5" t="s">
        <v>58</v>
      </c>
      <c r="F26" s="5"/>
      <c r="G26" s="5" t="s">
        <v>107</v>
      </c>
      <c r="H26" s="10"/>
      <c r="I26" s="10" t="s">
        <v>31</v>
      </c>
      <c r="J26" s="6" t="n">
        <f aca="false">COUNTIF(Связи!$C:$C,A26)+IF(G26="",0,COUNTIF(Навигация!$B:$B,G26))</f>
        <v>8</v>
      </c>
      <c r="K26" s="6" t="n">
        <f aca="false">COUNTIF(Связи!$G:$G,A26)+COUNTIF(Навигация!$F:$F,A26)</f>
        <v>1</v>
      </c>
      <c r="L26" s="11" t="str">
        <f aca="false">IF(D26="Дизайн-система","вне графа",IF(AND(K26=0,OR(D26="Состояние",D26="Служебная")),"демо / вход по событию",IF(K26=0,"⚠ сирота",IF(J26=0,"⚠ тупик","ок"))))</f>
        <v>ок</v>
      </c>
      <c r="M26" s="5" t="s">
        <v>124</v>
      </c>
    </row>
    <row r="27" customFormat="false" ht="15" hidden="false" customHeight="false" outlineLevel="0" collapsed="false">
      <c r="A27" s="5" t="s">
        <v>125</v>
      </c>
      <c r="B27" s="5" t="s">
        <v>35</v>
      </c>
      <c r="C27" s="5" t="s">
        <v>126</v>
      </c>
      <c r="D27" s="5" t="s">
        <v>57</v>
      </c>
      <c r="E27" s="5" t="s">
        <v>58</v>
      </c>
      <c r="F27" s="5"/>
      <c r="G27" s="5" t="s">
        <v>107</v>
      </c>
      <c r="H27" s="10"/>
      <c r="I27" s="10" t="s">
        <v>31</v>
      </c>
      <c r="J27" s="6" t="n">
        <f aca="false">COUNTIF(Связи!$C:$C,A27)+IF(G27="",0,COUNTIF(Навигация!$B:$B,G27))</f>
        <v>10</v>
      </c>
      <c r="K27" s="6" t="n">
        <f aca="false">COUNTIF(Связи!$G:$G,A27)+COUNTIF(Навигация!$F:$F,A27)</f>
        <v>1</v>
      </c>
      <c r="L27" s="11" t="str">
        <f aca="false">IF(D27="Дизайн-система","вне графа",IF(AND(K27=0,OR(D27="Состояние",D27="Служебная")),"демо / вход по событию",IF(K27=0,"⚠ сирота",IF(J27=0,"⚠ тупик","ок"))))</f>
        <v>ок</v>
      </c>
      <c r="M27" s="5"/>
    </row>
    <row r="28" customFormat="false" ht="15" hidden="false" customHeight="false" outlineLevel="0" collapsed="false">
      <c r="A28" s="5" t="s">
        <v>127</v>
      </c>
      <c r="B28" s="5" t="s">
        <v>36</v>
      </c>
      <c r="C28" s="5" t="s">
        <v>128</v>
      </c>
      <c r="D28" s="5" t="s">
        <v>57</v>
      </c>
      <c r="E28" s="5" t="s">
        <v>129</v>
      </c>
      <c r="F28" s="5"/>
      <c r="G28" s="5" t="s">
        <v>130</v>
      </c>
      <c r="H28" s="10"/>
      <c r="I28" s="10" t="s">
        <v>31</v>
      </c>
      <c r="J28" s="6" t="n">
        <f aca="false">COUNTIF(Связи!$C:$C,A28)+IF(G28="",0,COUNTIF(Навигация!$B:$B,G28))</f>
        <v>13</v>
      </c>
      <c r="K28" s="6" t="n">
        <f aca="false">COUNTIF(Связи!$G:$G,A28)+COUNTIF(Навигация!$F:$F,A28)</f>
        <v>11</v>
      </c>
      <c r="L28" s="11" t="str">
        <f aca="false">IF(D28="Дизайн-система","вне графа",IF(AND(K28=0,OR(D28="Состояние",D28="Служебная")),"демо / вход по событию",IF(K28=0,"⚠ сирота",IF(J28=0,"⚠ тупик","ок"))))</f>
        <v>ок</v>
      </c>
      <c r="M28" s="5" t="s">
        <v>131</v>
      </c>
    </row>
    <row r="29" customFormat="false" ht="15" hidden="false" customHeight="false" outlineLevel="0" collapsed="false">
      <c r="A29" s="5" t="s">
        <v>132</v>
      </c>
      <c r="B29" s="5" t="s">
        <v>36</v>
      </c>
      <c r="C29" s="5" t="s">
        <v>133</v>
      </c>
      <c r="D29" s="5" t="s">
        <v>57</v>
      </c>
      <c r="E29" s="5" t="s">
        <v>129</v>
      </c>
      <c r="F29" s="5"/>
      <c r="G29" s="5" t="s">
        <v>130</v>
      </c>
      <c r="H29" s="10"/>
      <c r="I29" s="10" t="s">
        <v>31</v>
      </c>
      <c r="J29" s="6" t="n">
        <f aca="false">COUNTIF(Связи!$C:$C,A29)+IF(G29="",0,COUNTIF(Навигация!$B:$B,G29))</f>
        <v>13</v>
      </c>
      <c r="K29" s="6" t="n">
        <f aca="false">COUNTIF(Связи!$G:$G,A29)+COUNTIF(Навигация!$F:$F,A29)</f>
        <v>3</v>
      </c>
      <c r="L29" s="11" t="str">
        <f aca="false">IF(D29="Дизайн-система","вне графа",IF(AND(K29=0,OR(D29="Состояние",D29="Служебная")),"демо / вход по событию",IF(K29=0,"⚠ сирота",IF(J29=0,"⚠ тупик","ок"))))</f>
        <v>ок</v>
      </c>
      <c r="M29" s="5"/>
    </row>
    <row r="30" customFormat="false" ht="15" hidden="false" customHeight="false" outlineLevel="0" collapsed="false">
      <c r="A30" s="5" t="s">
        <v>134</v>
      </c>
      <c r="B30" s="5" t="s">
        <v>36</v>
      </c>
      <c r="C30" s="5" t="s">
        <v>135</v>
      </c>
      <c r="D30" s="5" t="s">
        <v>57</v>
      </c>
      <c r="E30" s="5" t="s">
        <v>129</v>
      </c>
      <c r="F30" s="5"/>
      <c r="G30" s="5" t="s">
        <v>130</v>
      </c>
      <c r="H30" s="10"/>
      <c r="I30" s="10" t="s">
        <v>31</v>
      </c>
      <c r="J30" s="6" t="n">
        <f aca="false">COUNTIF(Связи!$C:$C,A30)+IF(G30="",0,COUNTIF(Навигация!$B:$B,G30))</f>
        <v>13</v>
      </c>
      <c r="K30" s="6" t="n">
        <f aca="false">COUNTIF(Связи!$G:$G,A30)+COUNTIF(Навигация!$F:$F,A30)</f>
        <v>5</v>
      </c>
      <c r="L30" s="11" t="str">
        <f aca="false">IF(D30="Дизайн-система","вне графа",IF(AND(K30=0,OR(D30="Состояние",D30="Служебная")),"демо / вход по событию",IF(K30=0,"⚠ сирота",IF(J30=0,"⚠ тупик","ок"))))</f>
        <v>ок</v>
      </c>
      <c r="M30" s="5"/>
    </row>
    <row r="31" customFormat="false" ht="15" hidden="false" customHeight="false" outlineLevel="0" collapsed="false">
      <c r="A31" s="5" t="s">
        <v>136</v>
      </c>
      <c r="B31" s="5" t="s">
        <v>36</v>
      </c>
      <c r="C31" s="5" t="s">
        <v>137</v>
      </c>
      <c r="D31" s="5" t="s">
        <v>57</v>
      </c>
      <c r="E31" s="5" t="s">
        <v>129</v>
      </c>
      <c r="F31" s="5"/>
      <c r="G31" s="5" t="s">
        <v>130</v>
      </c>
      <c r="H31" s="10"/>
      <c r="I31" s="10" t="s">
        <v>31</v>
      </c>
      <c r="J31" s="6" t="n">
        <f aca="false">COUNTIF(Связи!$C:$C,A31)+IF(G31="",0,COUNTIF(Навигация!$B:$B,G31))</f>
        <v>12</v>
      </c>
      <c r="K31" s="6" t="n">
        <f aca="false">COUNTIF(Связи!$G:$G,A31)+COUNTIF(Навигация!$F:$F,A31)</f>
        <v>3</v>
      </c>
      <c r="L31" s="11" t="str">
        <f aca="false">IF(D31="Дизайн-система","вне графа",IF(AND(K31=0,OR(D31="Состояние",D31="Служебная")),"демо / вход по событию",IF(K31=0,"⚠ сирота",IF(J31=0,"⚠ тупик","ок"))))</f>
        <v>ок</v>
      </c>
      <c r="M31" s="5"/>
    </row>
    <row r="32" customFormat="false" ht="15" hidden="false" customHeight="false" outlineLevel="0" collapsed="false">
      <c r="A32" s="5" t="s">
        <v>138</v>
      </c>
      <c r="B32" s="5" t="s">
        <v>36</v>
      </c>
      <c r="C32" s="5" t="s">
        <v>139</v>
      </c>
      <c r="D32" s="5" t="s">
        <v>57</v>
      </c>
      <c r="E32" s="5" t="s">
        <v>129</v>
      </c>
      <c r="F32" s="5"/>
      <c r="G32" s="5" t="s">
        <v>130</v>
      </c>
      <c r="H32" s="10"/>
      <c r="I32" s="10" t="s">
        <v>31</v>
      </c>
      <c r="J32" s="6" t="n">
        <f aca="false">COUNTIF(Связи!$C:$C,A32)+IF(G32="",0,COUNTIF(Навигация!$B:$B,G32))</f>
        <v>13</v>
      </c>
      <c r="K32" s="6" t="n">
        <f aca="false">COUNTIF(Связи!$G:$G,A32)+COUNTIF(Навигация!$F:$F,A32)</f>
        <v>2</v>
      </c>
      <c r="L32" s="11" t="str">
        <f aca="false">IF(D32="Дизайн-система","вне графа",IF(AND(K32=0,OR(D32="Состояние",D32="Служебная")),"демо / вход по событию",IF(K32=0,"⚠ сирота",IF(J32=0,"⚠ тупик","ок"))))</f>
        <v>ок</v>
      </c>
      <c r="M32" s="5"/>
    </row>
    <row r="33" customFormat="false" ht="15" hidden="false" customHeight="false" outlineLevel="0" collapsed="false">
      <c r="A33" s="5" t="s">
        <v>140</v>
      </c>
      <c r="B33" s="5" t="s">
        <v>36</v>
      </c>
      <c r="C33" s="5" t="s">
        <v>141</v>
      </c>
      <c r="D33" s="5" t="s">
        <v>57</v>
      </c>
      <c r="E33" s="5" t="s">
        <v>129</v>
      </c>
      <c r="F33" s="5" t="s">
        <v>136</v>
      </c>
      <c r="G33" s="5"/>
      <c r="H33" s="10"/>
      <c r="I33" s="10" t="s">
        <v>31</v>
      </c>
      <c r="J33" s="6" t="n">
        <f aca="false">COUNTIF(Связи!$C:$C,A33)+IF(G33="",0,COUNTIF(Навигация!$B:$B,G33))</f>
        <v>2</v>
      </c>
      <c r="K33" s="6" t="n">
        <f aca="false">COUNTIF(Связи!$G:$G,A33)+COUNTIF(Навигация!$F:$F,A33)</f>
        <v>2</v>
      </c>
      <c r="L33" s="11" t="str">
        <f aca="false">IF(D33="Дизайн-система","вне графа",IF(AND(K33=0,OR(D33="Состояние",D33="Служебная")),"демо / вход по событию",IF(K33=0,"⚠ сирота",IF(J33=0,"⚠ тупик","ок"))))</f>
        <v>ок</v>
      </c>
      <c r="M33" s="5"/>
    </row>
    <row r="34" customFormat="false" ht="15" hidden="false" customHeight="false" outlineLevel="0" collapsed="false">
      <c r="A34" s="5" t="s">
        <v>142</v>
      </c>
      <c r="B34" s="5" t="s">
        <v>36</v>
      </c>
      <c r="C34" s="5" t="s">
        <v>143</v>
      </c>
      <c r="D34" s="5" t="s">
        <v>57</v>
      </c>
      <c r="E34" s="5" t="s">
        <v>129</v>
      </c>
      <c r="F34" s="5" t="s">
        <v>140</v>
      </c>
      <c r="G34" s="5"/>
      <c r="H34" s="10"/>
      <c r="I34" s="10" t="s">
        <v>31</v>
      </c>
      <c r="J34" s="6" t="n">
        <f aca="false">COUNTIF(Связи!$C:$C,A34)+IF(G34="",0,COUNTIF(Навигация!$B:$B,G34))</f>
        <v>1</v>
      </c>
      <c r="K34" s="6" t="n">
        <f aca="false">COUNTIF(Связи!$G:$G,A34)+COUNTIF(Навигация!$F:$F,A34)</f>
        <v>1</v>
      </c>
      <c r="L34" s="11" t="str">
        <f aca="false">IF(D34="Дизайн-система","вне графа",IF(AND(K34=0,OR(D34="Состояние",D34="Служебная")),"демо / вход по событию",IF(K34=0,"⚠ сирота",IF(J34=0,"⚠ тупик","ок"))))</f>
        <v>ок</v>
      </c>
      <c r="M34" s="5"/>
    </row>
    <row r="35" customFormat="false" ht="15" hidden="false" customHeight="false" outlineLevel="0" collapsed="false">
      <c r="A35" s="5" t="s">
        <v>144</v>
      </c>
      <c r="B35" s="5" t="s">
        <v>36</v>
      </c>
      <c r="C35" s="5" t="s">
        <v>145</v>
      </c>
      <c r="D35" s="5" t="s">
        <v>57</v>
      </c>
      <c r="E35" s="5" t="s">
        <v>129</v>
      </c>
      <c r="F35" s="5"/>
      <c r="G35" s="5" t="s">
        <v>130</v>
      </c>
      <c r="H35" s="10"/>
      <c r="I35" s="10" t="s">
        <v>31</v>
      </c>
      <c r="J35" s="6" t="n">
        <f aca="false">COUNTIF(Связи!$C:$C,A35)+IF(G35="",0,COUNTIF(Навигация!$B:$B,G35))</f>
        <v>11</v>
      </c>
      <c r="K35" s="6" t="n">
        <f aca="false">COUNTIF(Связи!$G:$G,A35)+COUNTIF(Навигация!$F:$F,A35)</f>
        <v>4</v>
      </c>
      <c r="L35" s="11" t="str">
        <f aca="false">IF(D35="Дизайн-система","вне графа",IF(AND(K35=0,OR(D35="Состояние",D35="Служебная")),"демо / вход по событию",IF(K35=0,"⚠ сирота",IF(J35=0,"⚠ тупик","ок"))))</f>
        <v>ок</v>
      </c>
      <c r="M35" s="5" t="s">
        <v>146</v>
      </c>
    </row>
    <row r="36" customFormat="false" ht="15" hidden="false" customHeight="false" outlineLevel="0" collapsed="false">
      <c r="A36" s="5" t="s">
        <v>147</v>
      </c>
      <c r="B36" s="5" t="s">
        <v>36</v>
      </c>
      <c r="C36" s="5" t="s">
        <v>148</v>
      </c>
      <c r="D36" s="5" t="s">
        <v>149</v>
      </c>
      <c r="E36" s="5" t="s">
        <v>129</v>
      </c>
      <c r="F36" s="5" t="s">
        <v>144</v>
      </c>
      <c r="G36" s="5"/>
      <c r="H36" s="10"/>
      <c r="I36" s="10" t="s">
        <v>31</v>
      </c>
      <c r="J36" s="6" t="n">
        <f aca="false">COUNTIF(Связи!$C:$C,A36)+IF(G36="",0,COUNTIF(Навигация!$B:$B,G36))</f>
        <v>3</v>
      </c>
      <c r="K36" s="6" t="n">
        <f aca="false">COUNTIF(Связи!$G:$G,A36)+COUNTIF(Навигация!$F:$F,A36)</f>
        <v>1</v>
      </c>
      <c r="L36" s="11" t="str">
        <f aca="false">IF(D36="Дизайн-система","вне графа",IF(AND(K36=0,OR(D36="Состояние",D36="Служебная")),"демо / вход по событию",IF(K36=0,"⚠ сирота",IF(J36=0,"⚠ тупик","ок"))))</f>
        <v>ок</v>
      </c>
      <c r="M36" s="5"/>
    </row>
    <row r="37" customFormat="false" ht="15" hidden="false" customHeight="false" outlineLevel="0" collapsed="false">
      <c r="A37" s="5" t="s">
        <v>150</v>
      </c>
      <c r="B37" s="5" t="s">
        <v>36</v>
      </c>
      <c r="C37" s="5" t="s">
        <v>151</v>
      </c>
      <c r="D37" s="5" t="s">
        <v>57</v>
      </c>
      <c r="E37" s="5" t="s">
        <v>129</v>
      </c>
      <c r="F37" s="5"/>
      <c r="G37" s="5" t="s">
        <v>130</v>
      </c>
      <c r="H37" s="10"/>
      <c r="I37" s="10" t="s">
        <v>31</v>
      </c>
      <c r="J37" s="6" t="n">
        <f aca="false">COUNTIF(Связи!$C:$C,A37)+IF(G37="",0,COUNTIF(Навигация!$B:$B,G37))</f>
        <v>10</v>
      </c>
      <c r="K37" s="6" t="n">
        <f aca="false">COUNTIF(Связи!$G:$G,A37)+COUNTIF(Навигация!$F:$F,A37)</f>
        <v>2</v>
      </c>
      <c r="L37" s="11" t="str">
        <f aca="false">IF(D37="Дизайн-система","вне графа",IF(AND(K37=0,OR(D37="Состояние",D37="Служебная")),"демо / вход по событию",IF(K37=0,"⚠ сирота",IF(J37=0,"⚠ тупик","ок"))))</f>
        <v>ок</v>
      </c>
      <c r="M37" s="5"/>
    </row>
    <row r="38" customFormat="false" ht="15" hidden="false" customHeight="false" outlineLevel="0" collapsed="false">
      <c r="A38" s="5" t="s">
        <v>152</v>
      </c>
      <c r="B38" s="5" t="s">
        <v>36</v>
      </c>
      <c r="C38" s="5" t="s">
        <v>153</v>
      </c>
      <c r="D38" s="5" t="s">
        <v>57</v>
      </c>
      <c r="E38" s="5" t="s">
        <v>129</v>
      </c>
      <c r="F38" s="5" t="s">
        <v>150</v>
      </c>
      <c r="G38" s="5" t="s">
        <v>130</v>
      </c>
      <c r="H38" s="10"/>
      <c r="I38" s="10" t="s">
        <v>31</v>
      </c>
      <c r="J38" s="6" t="n">
        <f aca="false">COUNTIF(Связи!$C:$C,A38)+IF(G38="",0,COUNTIF(Навигация!$B:$B,G38))</f>
        <v>11</v>
      </c>
      <c r="K38" s="6" t="n">
        <f aca="false">COUNTIF(Связи!$G:$G,A38)+COUNTIF(Навигация!$F:$F,A38)</f>
        <v>5</v>
      </c>
      <c r="L38" s="11" t="str">
        <f aca="false">IF(D38="Дизайн-система","вне графа",IF(AND(K38=0,OR(D38="Состояние",D38="Служебная")),"демо / вход по событию",IF(K38=0,"⚠ сирота",IF(J38=0,"⚠ тупик","ок"))))</f>
        <v>ок</v>
      </c>
      <c r="M38" s="5"/>
    </row>
    <row r="39" customFormat="false" ht="15" hidden="false" customHeight="false" outlineLevel="0" collapsed="false">
      <c r="A39" s="5" t="s">
        <v>154</v>
      </c>
      <c r="B39" s="5" t="s">
        <v>36</v>
      </c>
      <c r="C39" s="5" t="s">
        <v>155</v>
      </c>
      <c r="D39" s="5" t="s">
        <v>57</v>
      </c>
      <c r="E39" s="5" t="s">
        <v>129</v>
      </c>
      <c r="F39" s="5"/>
      <c r="G39" s="5" t="s">
        <v>130</v>
      </c>
      <c r="H39" s="10"/>
      <c r="I39" s="10" t="s">
        <v>31</v>
      </c>
      <c r="J39" s="6" t="n">
        <f aca="false">COUNTIF(Связи!$C:$C,A39)+IF(G39="",0,COUNTIF(Навигация!$B:$B,G39))</f>
        <v>9</v>
      </c>
      <c r="K39" s="6" t="n">
        <f aca="false">COUNTIF(Связи!$G:$G,A39)+COUNTIF(Навигация!$F:$F,A39)</f>
        <v>1</v>
      </c>
      <c r="L39" s="11" t="str">
        <f aca="false">IF(D39="Дизайн-система","вне графа",IF(AND(K39=0,OR(D39="Состояние",D39="Служебная")),"демо / вход по событию",IF(K39=0,"⚠ сирота",IF(J39=0,"⚠ тупик","ок"))))</f>
        <v>ок</v>
      </c>
      <c r="M39" s="5"/>
    </row>
    <row r="40" customFormat="false" ht="15" hidden="false" customHeight="false" outlineLevel="0" collapsed="false">
      <c r="A40" s="5" t="s">
        <v>156</v>
      </c>
      <c r="B40" s="5" t="s">
        <v>36</v>
      </c>
      <c r="C40" s="5" t="s">
        <v>157</v>
      </c>
      <c r="D40" s="5" t="s">
        <v>57</v>
      </c>
      <c r="E40" s="5" t="s">
        <v>129</v>
      </c>
      <c r="F40" s="5"/>
      <c r="G40" s="5" t="s">
        <v>130</v>
      </c>
      <c r="H40" s="10"/>
      <c r="I40" s="10" t="s">
        <v>31</v>
      </c>
      <c r="J40" s="6" t="n">
        <f aca="false">COUNTIF(Связи!$C:$C,A40)+IF(G40="",0,COUNTIF(Навигация!$B:$B,G40))</f>
        <v>12</v>
      </c>
      <c r="K40" s="6" t="n">
        <f aca="false">COUNTIF(Связи!$G:$G,A40)+COUNTIF(Навигация!$F:$F,A40)</f>
        <v>4</v>
      </c>
      <c r="L40" s="11" t="str">
        <f aca="false">IF(D40="Дизайн-система","вне графа",IF(AND(K40=0,OR(D40="Состояние",D40="Служебная")),"демо / вход по событию",IF(K40=0,"⚠ сирота",IF(J40=0,"⚠ тупик","ок"))))</f>
        <v>ок</v>
      </c>
      <c r="M40" s="5"/>
    </row>
    <row r="41" customFormat="false" ht="15" hidden="false" customHeight="false" outlineLevel="0" collapsed="false">
      <c r="A41" s="5" t="s">
        <v>158</v>
      </c>
      <c r="B41" s="5" t="s">
        <v>36</v>
      </c>
      <c r="C41" s="5" t="s">
        <v>159</v>
      </c>
      <c r="D41" s="5" t="s">
        <v>57</v>
      </c>
      <c r="E41" s="5" t="s">
        <v>129</v>
      </c>
      <c r="F41" s="5" t="s">
        <v>156</v>
      </c>
      <c r="G41" s="5"/>
      <c r="H41" s="10"/>
      <c r="I41" s="10" t="s">
        <v>31</v>
      </c>
      <c r="J41" s="6" t="n">
        <f aca="false">COUNTIF(Связи!$C:$C,A41)+IF(G41="",0,COUNTIF(Навигация!$B:$B,G41))</f>
        <v>2</v>
      </c>
      <c r="K41" s="6" t="n">
        <f aca="false">COUNTIF(Связи!$G:$G,A41)+COUNTIF(Навигация!$F:$F,A41)</f>
        <v>1</v>
      </c>
      <c r="L41" s="11" t="str">
        <f aca="false">IF(D41="Дизайн-система","вне графа",IF(AND(K41=0,OR(D41="Состояние",D41="Служебная")),"демо / вход по событию",IF(K41=0,"⚠ сирота",IF(J41=0,"⚠ тупик","ок"))))</f>
        <v>ок</v>
      </c>
      <c r="M41" s="5"/>
    </row>
    <row r="42" customFormat="false" ht="15" hidden="false" customHeight="false" outlineLevel="0" collapsed="false">
      <c r="A42" s="5" t="s">
        <v>160</v>
      </c>
      <c r="B42" s="5" t="s">
        <v>36</v>
      </c>
      <c r="C42" s="5" t="s">
        <v>161</v>
      </c>
      <c r="D42" s="5" t="s">
        <v>57</v>
      </c>
      <c r="E42" s="5" t="s">
        <v>129</v>
      </c>
      <c r="F42" s="5" t="s">
        <v>156</v>
      </c>
      <c r="G42" s="5"/>
      <c r="H42" s="10"/>
      <c r="I42" s="10" t="s">
        <v>31</v>
      </c>
      <c r="J42" s="6" t="n">
        <f aca="false">COUNTIF(Связи!$C:$C,A42)+IF(G42="",0,COUNTIF(Навигация!$B:$B,G42))</f>
        <v>1</v>
      </c>
      <c r="K42" s="6" t="n">
        <f aca="false">COUNTIF(Связи!$G:$G,A42)+COUNTIF(Навигация!$F:$F,A42)</f>
        <v>1</v>
      </c>
      <c r="L42" s="11" t="str">
        <f aca="false">IF(D42="Дизайн-система","вне графа",IF(AND(K42=0,OR(D42="Состояние",D42="Служебная")),"демо / вход по событию",IF(K42=0,"⚠ сирота",IF(J42=0,"⚠ тупик","ок"))))</f>
        <v>ок</v>
      </c>
      <c r="M42" s="5"/>
    </row>
    <row r="43" customFormat="false" ht="15" hidden="false" customHeight="false" outlineLevel="0" collapsed="false">
      <c r="A43" s="5" t="s">
        <v>162</v>
      </c>
      <c r="B43" s="5" t="s">
        <v>36</v>
      </c>
      <c r="C43" s="5" t="s">
        <v>163</v>
      </c>
      <c r="D43" s="5" t="s">
        <v>100</v>
      </c>
      <c r="E43" s="5" t="s">
        <v>129</v>
      </c>
      <c r="F43" s="5" t="s">
        <v>134</v>
      </c>
      <c r="G43" s="5"/>
      <c r="H43" s="10"/>
      <c r="I43" s="10" t="s">
        <v>31</v>
      </c>
      <c r="J43" s="6" t="n">
        <f aca="false">COUNTIF(Связи!$C:$C,A43)+IF(G43="",0,COUNTIF(Навигация!$B:$B,G43))</f>
        <v>2</v>
      </c>
      <c r="K43" s="6" t="n">
        <f aca="false">COUNTIF(Связи!$G:$G,A43)+COUNTIF(Навигация!$F:$F,A43)</f>
        <v>1</v>
      </c>
      <c r="L43" s="11" t="str">
        <f aca="false">IF(D43="Дизайн-система","вне графа",IF(AND(K43=0,OR(D43="Состояние",D43="Служебная")),"демо / вход по событию",IF(K43=0,"⚠ сирота",IF(J43=0,"⚠ тупик","ок"))))</f>
        <v>ок</v>
      </c>
      <c r="M43" s="5"/>
    </row>
    <row r="44" customFormat="false" ht="15" hidden="false" customHeight="false" outlineLevel="0" collapsed="false">
      <c r="A44" s="5" t="s">
        <v>164</v>
      </c>
      <c r="B44" s="5" t="s">
        <v>36</v>
      </c>
      <c r="C44" s="5" t="s">
        <v>165</v>
      </c>
      <c r="D44" s="5" t="s">
        <v>149</v>
      </c>
      <c r="E44" s="5" t="s">
        <v>129</v>
      </c>
      <c r="F44" s="5" t="s">
        <v>132</v>
      </c>
      <c r="G44" s="5"/>
      <c r="H44" s="10"/>
      <c r="I44" s="10" t="s">
        <v>31</v>
      </c>
      <c r="J44" s="6" t="n">
        <f aca="false">COUNTIF(Связи!$C:$C,A44)+IF(G44="",0,COUNTIF(Навигация!$B:$B,G44))</f>
        <v>2</v>
      </c>
      <c r="K44" s="6" t="n">
        <f aca="false">COUNTIF(Связи!$G:$G,A44)+COUNTIF(Навигация!$F:$F,A44)</f>
        <v>1</v>
      </c>
      <c r="L44" s="11" t="str">
        <f aca="false">IF(D44="Дизайн-система","вне графа",IF(AND(K44=0,OR(D44="Состояние",D44="Служебная")),"демо / вход по событию",IF(K44=0,"⚠ сирота",IF(J44=0,"⚠ тупик","ок"))))</f>
        <v>ок</v>
      </c>
      <c r="M44" s="5"/>
    </row>
    <row r="45" customFormat="false" ht="15" hidden="false" customHeight="false" outlineLevel="0" collapsed="false">
      <c r="A45" s="5" t="s">
        <v>166</v>
      </c>
      <c r="B45" s="5" t="s">
        <v>36</v>
      </c>
      <c r="C45" s="5" t="s">
        <v>167</v>
      </c>
      <c r="D45" s="5" t="s">
        <v>168</v>
      </c>
      <c r="E45" s="5" t="s">
        <v>129</v>
      </c>
      <c r="F45" s="5" t="s">
        <v>127</v>
      </c>
      <c r="G45" s="5" t="s">
        <v>130</v>
      </c>
      <c r="H45" s="10"/>
      <c r="I45" s="10" t="s">
        <v>31</v>
      </c>
      <c r="J45" s="6" t="n">
        <f aca="false">COUNTIF(Связи!$C:$C,A45)+IF(G45="",0,COUNTIF(Навигация!$B:$B,G45))</f>
        <v>9</v>
      </c>
      <c r="K45" s="6" t="n">
        <f aca="false">COUNTIF(Связи!$G:$G,A45)+COUNTIF(Навигация!$F:$F,A45)</f>
        <v>0</v>
      </c>
      <c r="L45" s="11" t="str">
        <f aca="false">IF(D45="Дизайн-система","вне графа",IF(AND(K45=0,OR(D45="Состояние",D45="Служебная")),"демо / вход по событию",IF(K45=0,"⚠ сирота",IF(J45=0,"⚠ тупик","ок"))))</f>
        <v>демо / вход по событию</v>
      </c>
      <c r="M45" s="5"/>
    </row>
    <row r="46" customFormat="false" ht="15" hidden="false" customHeight="false" outlineLevel="0" collapsed="false">
      <c r="A46" s="5" t="s">
        <v>169</v>
      </c>
      <c r="B46" s="5" t="s">
        <v>36</v>
      </c>
      <c r="C46" s="5" t="s">
        <v>170</v>
      </c>
      <c r="D46" s="5" t="s">
        <v>168</v>
      </c>
      <c r="E46" s="5" t="s">
        <v>129</v>
      </c>
      <c r="F46" s="5" t="s">
        <v>127</v>
      </c>
      <c r="G46" s="5" t="s">
        <v>130</v>
      </c>
      <c r="H46" s="10"/>
      <c r="I46" s="10" t="s">
        <v>31</v>
      </c>
      <c r="J46" s="6" t="n">
        <f aca="false">COUNTIF(Связи!$C:$C,A46)+IF(G46="",0,COUNTIF(Навигация!$B:$B,G46))</f>
        <v>9</v>
      </c>
      <c r="K46" s="6" t="n">
        <f aca="false">COUNTIF(Связи!$G:$G,A46)+COUNTIF(Навигация!$F:$F,A46)</f>
        <v>0</v>
      </c>
      <c r="L46" s="11" t="str">
        <f aca="false">IF(D46="Дизайн-система","вне графа",IF(AND(K46=0,OR(D46="Состояние",D46="Служебная")),"демо / вход по событию",IF(K46=0,"⚠ сирота",IF(J46=0,"⚠ тупик","ок"))))</f>
        <v>демо / вход по событию</v>
      </c>
      <c r="M46" s="5"/>
    </row>
    <row r="47" customFormat="false" ht="15" hidden="false" customHeight="false" outlineLevel="0" collapsed="false">
      <c r="A47" s="5" t="s">
        <v>171</v>
      </c>
      <c r="B47" s="5" t="s">
        <v>36</v>
      </c>
      <c r="C47" s="5" t="s">
        <v>172</v>
      </c>
      <c r="D47" s="5" t="s">
        <v>168</v>
      </c>
      <c r="E47" s="5" t="s">
        <v>129</v>
      </c>
      <c r="F47" s="5" t="s">
        <v>144</v>
      </c>
      <c r="G47" s="5" t="s">
        <v>130</v>
      </c>
      <c r="H47" s="10"/>
      <c r="I47" s="10" t="s">
        <v>31</v>
      </c>
      <c r="J47" s="6" t="n">
        <f aca="false">COUNTIF(Связи!$C:$C,A47)+IF(G47="",0,COUNTIF(Навигация!$B:$B,G47))</f>
        <v>9</v>
      </c>
      <c r="K47" s="6" t="n">
        <f aca="false">COUNTIF(Связи!$G:$G,A47)+COUNTIF(Навигация!$F:$F,A47)</f>
        <v>0</v>
      </c>
      <c r="L47" s="11" t="str">
        <f aca="false">IF(D47="Дизайн-система","вне графа",IF(AND(K47=0,OR(D47="Состояние",D47="Служебная")),"демо / вход по событию",IF(K47=0,"⚠ сирота",IF(J47=0,"⚠ тупик","ок"))))</f>
        <v>демо / вход по событию</v>
      </c>
      <c r="M47" s="5"/>
    </row>
    <row r="48" customFormat="false" ht="15" hidden="false" customHeight="false" outlineLevel="0" collapsed="false">
      <c r="A48" s="5" t="s">
        <v>173</v>
      </c>
      <c r="B48" s="5" t="s">
        <v>36</v>
      </c>
      <c r="C48" s="5" t="s">
        <v>174</v>
      </c>
      <c r="D48" s="5" t="s">
        <v>168</v>
      </c>
      <c r="E48" s="5" t="s">
        <v>129</v>
      </c>
      <c r="F48" s="5" t="s">
        <v>150</v>
      </c>
      <c r="G48" s="5" t="s">
        <v>130</v>
      </c>
      <c r="H48" s="10"/>
      <c r="I48" s="10" t="s">
        <v>31</v>
      </c>
      <c r="J48" s="6" t="n">
        <f aca="false">COUNTIF(Связи!$C:$C,A48)+IF(G48="",0,COUNTIF(Навигация!$B:$B,G48))</f>
        <v>9</v>
      </c>
      <c r="K48" s="6" t="n">
        <f aca="false">COUNTIF(Связи!$G:$G,A48)+COUNTIF(Навигация!$F:$F,A48)</f>
        <v>0</v>
      </c>
      <c r="L48" s="11" t="str">
        <f aca="false">IF(D48="Дизайн-система","вне графа",IF(AND(K48=0,OR(D48="Состояние",D48="Служебная")),"демо / вход по событию",IF(K48=0,"⚠ сирота",IF(J48=0,"⚠ тупик","ок"))))</f>
        <v>демо / вход по событию</v>
      </c>
      <c r="M48" s="5"/>
    </row>
    <row r="49" customFormat="false" ht="15" hidden="false" customHeight="false" outlineLevel="0" collapsed="false">
      <c r="A49" s="5" t="s">
        <v>175</v>
      </c>
      <c r="B49" s="5" t="s">
        <v>36</v>
      </c>
      <c r="C49" s="5" t="s">
        <v>176</v>
      </c>
      <c r="D49" s="5" t="s">
        <v>168</v>
      </c>
      <c r="E49" s="5" t="s">
        <v>129</v>
      </c>
      <c r="F49" s="5"/>
      <c r="G49" s="5"/>
      <c r="H49" s="10"/>
      <c r="I49" s="10" t="s">
        <v>31</v>
      </c>
      <c r="J49" s="6" t="n">
        <f aca="false">COUNTIF(Связи!$C:$C,A49)+IF(G49="",0,COUNTIF(Навигация!$B:$B,G49))</f>
        <v>1</v>
      </c>
      <c r="K49" s="6" t="n">
        <f aca="false">COUNTIF(Связи!$G:$G,A49)+COUNTIF(Навигация!$F:$F,A49)</f>
        <v>0</v>
      </c>
      <c r="L49" s="11" t="str">
        <f aca="false">IF(D49="Дизайн-система","вне графа",IF(AND(K49=0,OR(D49="Состояние",D49="Служебная")),"демо / вход по событию",IF(K49=0,"⚠ сирота",IF(J49=0,"⚠ тупик","ок"))))</f>
        <v>демо / вход по событию</v>
      </c>
      <c r="M49" s="5"/>
    </row>
    <row r="50" customFormat="false" ht="15" hidden="false" customHeight="false" outlineLevel="0" collapsed="false">
      <c r="A50" s="5" t="s">
        <v>177</v>
      </c>
      <c r="B50" s="5" t="s">
        <v>36</v>
      </c>
      <c r="C50" s="5" t="s">
        <v>178</v>
      </c>
      <c r="D50" s="5" t="s">
        <v>100</v>
      </c>
      <c r="E50" s="5" t="s">
        <v>129</v>
      </c>
      <c r="F50" s="5" t="s">
        <v>138</v>
      </c>
      <c r="G50" s="5"/>
      <c r="H50" s="10"/>
      <c r="I50" s="10" t="s">
        <v>31</v>
      </c>
      <c r="J50" s="6" t="n">
        <f aca="false">COUNTIF(Связи!$C:$C,A50)+IF(G50="",0,COUNTIF(Навигация!$B:$B,G50))</f>
        <v>1</v>
      </c>
      <c r="K50" s="6" t="n">
        <f aca="false">COUNTIF(Связи!$G:$G,A50)+COUNTIF(Навигация!$F:$F,A50)</f>
        <v>1</v>
      </c>
      <c r="L50" s="11" t="str">
        <f aca="false">IF(D50="Дизайн-система","вне графа",IF(AND(K50=0,OR(D50="Состояние",D50="Служебная")),"демо / вход по событию",IF(K50=0,"⚠ сирота",IF(J50=0,"⚠ тупик","ок"))))</f>
        <v>ок</v>
      </c>
      <c r="M50" s="5"/>
    </row>
    <row r="51" customFormat="false" ht="15" hidden="false" customHeight="false" outlineLevel="0" collapsed="false">
      <c r="A51" s="5" t="s">
        <v>179</v>
      </c>
      <c r="B51" s="5" t="s">
        <v>37</v>
      </c>
      <c r="C51" s="5" t="s">
        <v>180</v>
      </c>
      <c r="D51" s="5" t="s">
        <v>57</v>
      </c>
      <c r="E51" s="5" t="s">
        <v>181</v>
      </c>
      <c r="F51" s="5"/>
      <c r="G51" s="5" t="s">
        <v>182</v>
      </c>
      <c r="H51" s="10"/>
      <c r="I51" s="10" t="s">
        <v>31</v>
      </c>
      <c r="J51" s="6" t="n">
        <f aca="false">COUNTIF(Связи!$C:$C,A51)+IF(G51="",0,COUNTIF(Навигация!$B:$B,G51))</f>
        <v>21</v>
      </c>
      <c r="K51" s="6" t="n">
        <f aca="false">COUNTIF(Связи!$G:$G,A51)+COUNTIF(Навигация!$F:$F,A51)</f>
        <v>15</v>
      </c>
      <c r="L51" s="11" t="str">
        <f aca="false">IF(D51="Дизайн-система","вне графа",IF(AND(K51=0,OR(D51="Состояние",D51="Служебная")),"демо / вход по событию",IF(K51=0,"⚠ сирота",IF(J51=0,"⚠ тупик","ок"))))</f>
        <v>ок</v>
      </c>
      <c r="M51" s="5" t="s">
        <v>183</v>
      </c>
    </row>
    <row r="52" customFormat="false" ht="15" hidden="false" customHeight="false" outlineLevel="0" collapsed="false">
      <c r="A52" s="5" t="s">
        <v>184</v>
      </c>
      <c r="B52" s="5" t="s">
        <v>37</v>
      </c>
      <c r="C52" s="5" t="s">
        <v>185</v>
      </c>
      <c r="D52" s="5" t="s">
        <v>57</v>
      </c>
      <c r="E52" s="5" t="s">
        <v>181</v>
      </c>
      <c r="F52" s="5" t="s">
        <v>179</v>
      </c>
      <c r="G52" s="5" t="s">
        <v>182</v>
      </c>
      <c r="H52" s="10"/>
      <c r="I52" s="10" t="s">
        <v>31</v>
      </c>
      <c r="J52" s="6" t="n">
        <f aca="false">COUNTIF(Связи!$C:$C,A52)+IF(G52="",0,COUNTIF(Навигация!$B:$B,G52))</f>
        <v>19</v>
      </c>
      <c r="K52" s="6" t="n">
        <f aca="false">COUNTIF(Связи!$G:$G,A52)+COUNTIF(Навигация!$F:$F,A52)</f>
        <v>1</v>
      </c>
      <c r="L52" s="11" t="str">
        <f aca="false">IF(D52="Дизайн-система","вне графа",IF(AND(K52=0,OR(D52="Состояние",D52="Служебная")),"демо / вход по событию",IF(K52=0,"⚠ сирота",IF(J52=0,"⚠ тупик","ок"))))</f>
        <v>ок</v>
      </c>
      <c r="M52" s="5"/>
    </row>
    <row r="53" customFormat="false" ht="15" hidden="false" customHeight="false" outlineLevel="0" collapsed="false">
      <c r="A53" s="5" t="s">
        <v>186</v>
      </c>
      <c r="B53" s="5" t="s">
        <v>37</v>
      </c>
      <c r="C53" s="5" t="s">
        <v>187</v>
      </c>
      <c r="D53" s="5" t="s">
        <v>168</v>
      </c>
      <c r="E53" s="5" t="s">
        <v>181</v>
      </c>
      <c r="F53" s="5" t="s">
        <v>179</v>
      </c>
      <c r="G53" s="5" t="s">
        <v>182</v>
      </c>
      <c r="H53" s="10"/>
      <c r="I53" s="10" t="s">
        <v>31</v>
      </c>
      <c r="J53" s="6" t="n">
        <f aca="false">COUNTIF(Связи!$C:$C,A53)+IF(G53="",0,COUNTIF(Навигация!$B:$B,G53))</f>
        <v>17</v>
      </c>
      <c r="K53" s="6" t="n">
        <f aca="false">COUNTIF(Связи!$G:$G,A53)+COUNTIF(Навигация!$F:$F,A53)</f>
        <v>0</v>
      </c>
      <c r="L53" s="11" t="str">
        <f aca="false">IF(D53="Дизайн-система","вне графа",IF(AND(K53=0,OR(D53="Состояние",D53="Служебная")),"демо / вход по событию",IF(K53=0,"⚠ сирота",IF(J53=0,"⚠ тупик","ок"))))</f>
        <v>демо / вход по событию</v>
      </c>
      <c r="M53" s="5"/>
    </row>
    <row r="54" customFormat="false" ht="15" hidden="false" customHeight="false" outlineLevel="0" collapsed="false">
      <c r="A54" s="5" t="s">
        <v>188</v>
      </c>
      <c r="B54" s="5" t="s">
        <v>37</v>
      </c>
      <c r="C54" s="5" t="s">
        <v>189</v>
      </c>
      <c r="D54" s="5" t="s">
        <v>190</v>
      </c>
      <c r="E54" s="5" t="s">
        <v>181</v>
      </c>
      <c r="F54" s="5" t="s">
        <v>179</v>
      </c>
      <c r="G54" s="5"/>
      <c r="H54" s="10"/>
      <c r="I54" s="10" t="s">
        <v>31</v>
      </c>
      <c r="J54" s="6" t="n">
        <f aca="false">COUNTIF(Связи!$C:$C,A54)+IF(G54="",0,COUNTIF(Навигация!$B:$B,G54))</f>
        <v>3</v>
      </c>
      <c r="K54" s="6" t="n">
        <f aca="false">COUNTIF(Связи!$G:$G,A54)+COUNTIF(Навигация!$F:$F,A54)</f>
        <v>6</v>
      </c>
      <c r="L54" s="11" t="str">
        <f aca="false">IF(D54="Дизайн-система","вне графа",IF(AND(K54=0,OR(D54="Состояние",D54="Служебная")),"демо / вход по событию",IF(K54=0,"⚠ сирота",IF(J54=0,"⚠ тупик","ок"))))</f>
        <v>ок</v>
      </c>
      <c r="M54" s="5"/>
    </row>
    <row r="55" customFormat="false" ht="15" hidden="false" customHeight="false" outlineLevel="0" collapsed="false">
      <c r="A55" s="5" t="s">
        <v>191</v>
      </c>
      <c r="B55" s="5" t="s">
        <v>37</v>
      </c>
      <c r="C55" s="5" t="s">
        <v>192</v>
      </c>
      <c r="D55" s="5" t="s">
        <v>168</v>
      </c>
      <c r="E55" s="5" t="s">
        <v>181</v>
      </c>
      <c r="F55" s="5" t="s">
        <v>188</v>
      </c>
      <c r="G55" s="5"/>
      <c r="H55" s="10"/>
      <c r="I55" s="10" t="s">
        <v>31</v>
      </c>
      <c r="J55" s="6" t="n">
        <f aca="false">COUNTIF(Связи!$C:$C,A55)+IF(G55="",0,COUNTIF(Навигация!$B:$B,G55))</f>
        <v>1</v>
      </c>
      <c r="K55" s="6" t="n">
        <f aca="false">COUNTIF(Связи!$G:$G,A55)+COUNTIF(Навигация!$F:$F,A55)</f>
        <v>1</v>
      </c>
      <c r="L55" s="11" t="str">
        <f aca="false">IF(D55="Дизайн-система","вне графа",IF(AND(K55=0,OR(D55="Состояние",D55="Служебная")),"демо / вход по событию",IF(K55=0,"⚠ сирота",IF(J55=0,"⚠ тупик","ок"))))</f>
        <v>ок</v>
      </c>
      <c r="M55" s="5"/>
    </row>
    <row r="56" customFormat="false" ht="15" hidden="false" customHeight="false" outlineLevel="0" collapsed="false">
      <c r="A56" s="5" t="s">
        <v>193</v>
      </c>
      <c r="B56" s="5" t="s">
        <v>37</v>
      </c>
      <c r="C56" s="5" t="s">
        <v>194</v>
      </c>
      <c r="D56" s="5" t="s">
        <v>195</v>
      </c>
      <c r="E56" s="5" t="s">
        <v>181</v>
      </c>
      <c r="F56" s="5" t="s">
        <v>179</v>
      </c>
      <c r="G56" s="5"/>
      <c r="H56" s="10"/>
      <c r="I56" s="10" t="s">
        <v>31</v>
      </c>
      <c r="J56" s="6" t="n">
        <f aca="false">COUNTIF(Связи!$C:$C,A56)+IF(G56="",0,COUNTIF(Навигация!$B:$B,G56))</f>
        <v>7</v>
      </c>
      <c r="K56" s="6" t="n">
        <f aca="false">COUNTIF(Связи!$G:$G,A56)+COUNTIF(Навигация!$F:$F,A56)</f>
        <v>6</v>
      </c>
      <c r="L56" s="11" t="str">
        <f aca="false">IF(D56="Дизайн-система","вне графа",IF(AND(K56=0,OR(D56="Состояние",D56="Служебная")),"демо / вход по событию",IF(K56=0,"⚠ сирота",IF(J56=0,"⚠ тупик","ок"))))</f>
        <v>ок</v>
      </c>
      <c r="M56" s="5"/>
    </row>
    <row r="57" customFormat="false" ht="15" hidden="false" customHeight="false" outlineLevel="0" collapsed="false">
      <c r="A57" s="5" t="s">
        <v>196</v>
      </c>
      <c r="B57" s="5" t="s">
        <v>37</v>
      </c>
      <c r="C57" s="5" t="s">
        <v>197</v>
      </c>
      <c r="D57" s="5" t="s">
        <v>100</v>
      </c>
      <c r="E57" s="5" t="s">
        <v>181</v>
      </c>
      <c r="F57" s="5" t="s">
        <v>193</v>
      </c>
      <c r="G57" s="5"/>
      <c r="H57" s="10"/>
      <c r="I57" s="10" t="s">
        <v>31</v>
      </c>
      <c r="J57" s="6" t="n">
        <f aca="false">COUNTIF(Связи!$C:$C,A57)+IF(G57="",0,COUNTIF(Навигация!$B:$B,G57))</f>
        <v>2</v>
      </c>
      <c r="K57" s="6" t="n">
        <f aca="false">COUNTIF(Связи!$G:$G,A57)+COUNTIF(Навигация!$F:$F,A57)</f>
        <v>1</v>
      </c>
      <c r="L57" s="11" t="str">
        <f aca="false">IF(D57="Дизайн-система","вне графа",IF(AND(K57=0,OR(D57="Состояние",D57="Служебная")),"демо / вход по событию",IF(K57=0,"⚠ сирота",IF(J57=0,"⚠ тупик","ок"))))</f>
        <v>ок</v>
      </c>
      <c r="M57" s="5"/>
    </row>
    <row r="58" customFormat="false" ht="15" hidden="false" customHeight="false" outlineLevel="0" collapsed="false">
      <c r="A58" s="5" t="s">
        <v>198</v>
      </c>
      <c r="B58" s="5" t="s">
        <v>37</v>
      </c>
      <c r="C58" s="5" t="s">
        <v>199</v>
      </c>
      <c r="D58" s="5" t="s">
        <v>100</v>
      </c>
      <c r="E58" s="5" t="s">
        <v>181</v>
      </c>
      <c r="F58" s="5" t="s">
        <v>193</v>
      </c>
      <c r="G58" s="5"/>
      <c r="H58" s="10"/>
      <c r="I58" s="10" t="s">
        <v>31</v>
      </c>
      <c r="J58" s="6" t="n">
        <f aca="false">COUNTIF(Связи!$C:$C,A58)+IF(G58="",0,COUNTIF(Навигация!$B:$B,G58))</f>
        <v>2</v>
      </c>
      <c r="K58" s="6" t="n">
        <f aca="false">COUNTIF(Связи!$G:$G,A58)+COUNTIF(Навигация!$F:$F,A58)</f>
        <v>1</v>
      </c>
      <c r="L58" s="11" t="str">
        <f aca="false">IF(D58="Дизайн-система","вне графа",IF(AND(K58=0,OR(D58="Состояние",D58="Служебная")),"демо / вход по событию",IF(K58=0,"⚠ сирота",IF(J58=0,"⚠ тупик","ок"))))</f>
        <v>ок</v>
      </c>
      <c r="M58" s="5"/>
    </row>
    <row r="59" customFormat="false" ht="15" hidden="false" customHeight="false" outlineLevel="0" collapsed="false">
      <c r="A59" s="5" t="s">
        <v>200</v>
      </c>
      <c r="B59" s="5" t="s">
        <v>37</v>
      </c>
      <c r="C59" s="5" t="s">
        <v>201</v>
      </c>
      <c r="D59" s="5" t="s">
        <v>100</v>
      </c>
      <c r="E59" s="5" t="s">
        <v>181</v>
      </c>
      <c r="F59" s="5" t="s">
        <v>193</v>
      </c>
      <c r="G59" s="5"/>
      <c r="H59" s="10"/>
      <c r="I59" s="10" t="s">
        <v>31</v>
      </c>
      <c r="J59" s="6" t="n">
        <f aca="false">COUNTIF(Связи!$C:$C,A59)+IF(G59="",0,COUNTIF(Навигация!$B:$B,G59))</f>
        <v>2</v>
      </c>
      <c r="K59" s="6" t="n">
        <f aca="false">COUNTIF(Связи!$G:$G,A59)+COUNTIF(Навигация!$F:$F,A59)</f>
        <v>1</v>
      </c>
      <c r="L59" s="11" t="str">
        <f aca="false">IF(D59="Дизайн-система","вне графа",IF(AND(K59=0,OR(D59="Состояние",D59="Служебная")),"демо / вход по событию",IF(K59=0,"⚠ сирота",IF(J59=0,"⚠ тупик","ок"))))</f>
        <v>ок</v>
      </c>
      <c r="M59" s="5"/>
    </row>
    <row r="60" customFormat="false" ht="15" hidden="false" customHeight="false" outlineLevel="0" collapsed="false">
      <c r="A60" s="5" t="s">
        <v>202</v>
      </c>
      <c r="B60" s="5" t="s">
        <v>37</v>
      </c>
      <c r="C60" s="5" t="s">
        <v>151</v>
      </c>
      <c r="D60" s="5" t="s">
        <v>57</v>
      </c>
      <c r="E60" s="5" t="s">
        <v>181</v>
      </c>
      <c r="F60" s="5"/>
      <c r="G60" s="5" t="s">
        <v>182</v>
      </c>
      <c r="H60" s="10"/>
      <c r="I60" s="10" t="s">
        <v>31</v>
      </c>
      <c r="J60" s="6" t="n">
        <f aca="false">COUNTIF(Связи!$C:$C,A60)+IF(G60="",0,COUNTIF(Навигация!$B:$B,G60))</f>
        <v>21</v>
      </c>
      <c r="K60" s="6" t="n">
        <f aca="false">COUNTIF(Связи!$G:$G,A60)+COUNTIF(Навигация!$F:$F,A60)</f>
        <v>3</v>
      </c>
      <c r="L60" s="11" t="str">
        <f aca="false">IF(D60="Дизайн-система","вне графа",IF(AND(K60=0,OR(D60="Состояние",D60="Служебная")),"демо / вход по событию",IF(K60=0,"⚠ сирота",IF(J60=0,"⚠ тупик","ок"))))</f>
        <v>ок</v>
      </c>
      <c r="M60" s="5"/>
    </row>
    <row r="61" customFormat="false" ht="15" hidden="false" customHeight="false" outlineLevel="0" collapsed="false">
      <c r="A61" s="5" t="s">
        <v>203</v>
      </c>
      <c r="B61" s="5" t="s">
        <v>37</v>
      </c>
      <c r="C61" s="5" t="s">
        <v>204</v>
      </c>
      <c r="D61" s="5" t="s">
        <v>190</v>
      </c>
      <c r="E61" s="5" t="s">
        <v>181</v>
      </c>
      <c r="F61" s="5" t="s">
        <v>202</v>
      </c>
      <c r="G61" s="5"/>
      <c r="H61" s="10"/>
      <c r="I61" s="10" t="s">
        <v>31</v>
      </c>
      <c r="J61" s="6" t="n">
        <f aca="false">COUNTIF(Связи!$C:$C,A61)+IF(G61="",0,COUNTIF(Навигация!$B:$B,G61))</f>
        <v>4</v>
      </c>
      <c r="K61" s="6" t="n">
        <f aca="false">COUNTIF(Связи!$G:$G,A61)+COUNTIF(Навигация!$F:$F,A61)</f>
        <v>2</v>
      </c>
      <c r="L61" s="11" t="str">
        <f aca="false">IF(D61="Дизайн-система","вне графа",IF(AND(K61=0,OR(D61="Состояние",D61="Служебная")),"демо / вход по событию",IF(K61=0,"⚠ сирота",IF(J61=0,"⚠ тупик","ок"))))</f>
        <v>ок</v>
      </c>
      <c r="M61" s="5"/>
    </row>
    <row r="62" customFormat="false" ht="15" hidden="false" customHeight="false" outlineLevel="0" collapsed="false">
      <c r="A62" s="5" t="s">
        <v>205</v>
      </c>
      <c r="B62" s="5" t="s">
        <v>37</v>
      </c>
      <c r="C62" s="5" t="s">
        <v>206</v>
      </c>
      <c r="D62" s="5" t="s">
        <v>57</v>
      </c>
      <c r="E62" s="5" t="s">
        <v>181</v>
      </c>
      <c r="F62" s="5" t="s">
        <v>202</v>
      </c>
      <c r="G62" s="5" t="s">
        <v>182</v>
      </c>
      <c r="H62" s="10"/>
      <c r="I62" s="10" t="s">
        <v>31</v>
      </c>
      <c r="J62" s="6" t="n">
        <f aca="false">COUNTIF(Связи!$C:$C,A62)+IF(G62="",0,COUNTIF(Навигация!$B:$B,G62))</f>
        <v>23</v>
      </c>
      <c r="K62" s="6" t="n">
        <f aca="false">COUNTIF(Связи!$G:$G,A62)+COUNTIF(Навигация!$F:$F,A62)</f>
        <v>6</v>
      </c>
      <c r="L62" s="11" t="str">
        <f aca="false">IF(D62="Дизайн-система","вне графа",IF(AND(K62=0,OR(D62="Состояние",D62="Служебная")),"демо / вход по событию",IF(K62=0,"⚠ сирота",IF(J62=0,"⚠ тупик","ок"))))</f>
        <v>ок</v>
      </c>
      <c r="M62" s="5"/>
    </row>
    <row r="63" customFormat="false" ht="15" hidden="false" customHeight="false" outlineLevel="0" collapsed="false">
      <c r="A63" s="5" t="s">
        <v>207</v>
      </c>
      <c r="B63" s="5" t="s">
        <v>37</v>
      </c>
      <c r="C63" s="5" t="s">
        <v>208</v>
      </c>
      <c r="D63" s="5" t="s">
        <v>100</v>
      </c>
      <c r="E63" s="5" t="s">
        <v>181</v>
      </c>
      <c r="F63" s="5" t="s">
        <v>202</v>
      </c>
      <c r="G63" s="5"/>
      <c r="H63" s="10"/>
      <c r="I63" s="10" t="s">
        <v>31</v>
      </c>
      <c r="J63" s="6" t="n">
        <f aca="false">COUNTIF(Связи!$C:$C,A63)+IF(G63="",0,COUNTIF(Навигация!$B:$B,G63))</f>
        <v>2</v>
      </c>
      <c r="K63" s="6" t="n">
        <f aca="false">COUNTIF(Связи!$G:$G,A63)+COUNTIF(Навигация!$F:$F,A63)</f>
        <v>2</v>
      </c>
      <c r="L63" s="11" t="str">
        <f aca="false">IF(D63="Дизайн-система","вне графа",IF(AND(K63=0,OR(D63="Состояние",D63="Служебная")),"демо / вход по событию",IF(K63=0,"⚠ сирота",IF(J63=0,"⚠ тупик","ок"))))</f>
        <v>ок</v>
      </c>
      <c r="M63" s="5" t="s">
        <v>209</v>
      </c>
    </row>
    <row r="64" customFormat="false" ht="15" hidden="false" customHeight="false" outlineLevel="0" collapsed="false">
      <c r="A64" s="5" t="s">
        <v>210</v>
      </c>
      <c r="B64" s="5" t="s">
        <v>37</v>
      </c>
      <c r="C64" s="5" t="s">
        <v>211</v>
      </c>
      <c r="D64" s="5" t="s">
        <v>100</v>
      </c>
      <c r="E64" s="5" t="s">
        <v>181</v>
      </c>
      <c r="F64" s="5" t="s">
        <v>205</v>
      </c>
      <c r="G64" s="5"/>
      <c r="H64" s="10"/>
      <c r="I64" s="10" t="s">
        <v>31</v>
      </c>
      <c r="J64" s="6" t="n">
        <f aca="false">COUNTIF(Связи!$C:$C,A64)+IF(G64="",0,COUNTIF(Навигация!$B:$B,G64))</f>
        <v>2</v>
      </c>
      <c r="K64" s="6" t="n">
        <f aca="false">COUNTIF(Связи!$G:$G,A64)+COUNTIF(Навигация!$F:$F,A64)</f>
        <v>1</v>
      </c>
      <c r="L64" s="11" t="str">
        <f aca="false">IF(D64="Дизайн-система","вне графа",IF(AND(K64=0,OR(D64="Состояние",D64="Служебная")),"демо / вход по событию",IF(K64=0,"⚠ сирота",IF(J64=0,"⚠ тупик","ок"))))</f>
        <v>ок</v>
      </c>
      <c r="M64" s="5"/>
    </row>
    <row r="65" customFormat="false" ht="15" hidden="false" customHeight="false" outlineLevel="0" collapsed="false">
      <c r="A65" s="5" t="s">
        <v>212</v>
      </c>
      <c r="B65" s="5" t="s">
        <v>37</v>
      </c>
      <c r="C65" s="5" t="s">
        <v>213</v>
      </c>
      <c r="D65" s="5" t="s">
        <v>57</v>
      </c>
      <c r="E65" s="5" t="s">
        <v>181</v>
      </c>
      <c r="F65" s="5"/>
      <c r="G65" s="5" t="s">
        <v>182</v>
      </c>
      <c r="H65" s="10"/>
      <c r="I65" s="10" t="s">
        <v>31</v>
      </c>
      <c r="J65" s="6" t="n">
        <f aca="false">COUNTIF(Связи!$C:$C,A65)+IF(G65="",0,COUNTIF(Навигация!$B:$B,G65))</f>
        <v>20</v>
      </c>
      <c r="K65" s="6" t="n">
        <f aca="false">COUNTIF(Связи!$G:$G,A65)+COUNTIF(Навигация!$F:$F,A65)</f>
        <v>5</v>
      </c>
      <c r="L65" s="11" t="str">
        <f aca="false">IF(D65="Дизайн-система","вне графа",IF(AND(K65=0,OR(D65="Состояние",D65="Служебная")),"демо / вход по событию",IF(K65=0,"⚠ сирота",IF(J65=0,"⚠ тупик","ок"))))</f>
        <v>ок</v>
      </c>
      <c r="M65" s="5"/>
    </row>
    <row r="66" customFormat="false" ht="15" hidden="false" customHeight="false" outlineLevel="0" collapsed="false">
      <c r="A66" s="5" t="s">
        <v>214</v>
      </c>
      <c r="B66" s="5" t="s">
        <v>37</v>
      </c>
      <c r="C66" s="5" t="s">
        <v>215</v>
      </c>
      <c r="D66" s="5" t="s">
        <v>100</v>
      </c>
      <c r="E66" s="5" t="s">
        <v>181</v>
      </c>
      <c r="F66" s="5" t="s">
        <v>212</v>
      </c>
      <c r="G66" s="5"/>
      <c r="H66" s="10"/>
      <c r="I66" s="10" t="s">
        <v>31</v>
      </c>
      <c r="J66" s="6" t="n">
        <f aca="false">COUNTIF(Связи!$C:$C,A66)+IF(G66="",0,COUNTIF(Навигация!$B:$B,G66))</f>
        <v>2</v>
      </c>
      <c r="K66" s="6" t="n">
        <f aca="false">COUNTIF(Связи!$G:$G,A66)+COUNTIF(Навигация!$F:$F,A66)</f>
        <v>4</v>
      </c>
      <c r="L66" s="11" t="str">
        <f aca="false">IF(D66="Дизайн-система","вне графа",IF(AND(K66=0,OR(D66="Состояние",D66="Служебная")),"демо / вход по событию",IF(K66=0,"⚠ сирота",IF(J66=0,"⚠ тупик","ок"))))</f>
        <v>ок</v>
      </c>
      <c r="M66" s="5"/>
    </row>
    <row r="67" customFormat="false" ht="15" hidden="false" customHeight="false" outlineLevel="0" collapsed="false">
      <c r="A67" s="5" t="s">
        <v>216</v>
      </c>
      <c r="B67" s="5" t="s">
        <v>37</v>
      </c>
      <c r="C67" s="5" t="s">
        <v>217</v>
      </c>
      <c r="D67" s="5" t="s">
        <v>100</v>
      </c>
      <c r="E67" s="5" t="s">
        <v>181</v>
      </c>
      <c r="F67" s="5" t="s">
        <v>212</v>
      </c>
      <c r="G67" s="5"/>
      <c r="H67" s="10"/>
      <c r="I67" s="10" t="s">
        <v>31</v>
      </c>
      <c r="J67" s="6" t="n">
        <f aca="false">COUNTIF(Связи!$C:$C,A67)+IF(G67="",0,COUNTIF(Навигация!$B:$B,G67))</f>
        <v>2</v>
      </c>
      <c r="K67" s="6" t="n">
        <f aca="false">COUNTIF(Связи!$G:$G,A67)+COUNTIF(Навигация!$F:$F,A67)</f>
        <v>1</v>
      </c>
      <c r="L67" s="11" t="str">
        <f aca="false">IF(D67="Дизайн-система","вне графа",IF(AND(K67=0,OR(D67="Состояние",D67="Служебная")),"демо / вход по событию",IF(K67=0,"⚠ сирота",IF(J67=0,"⚠ тупик","ок"))))</f>
        <v>ок</v>
      </c>
      <c r="M67" s="5"/>
    </row>
    <row r="68" customFormat="false" ht="15" hidden="false" customHeight="false" outlineLevel="0" collapsed="false">
      <c r="A68" s="5" t="s">
        <v>218</v>
      </c>
      <c r="B68" s="5" t="s">
        <v>37</v>
      </c>
      <c r="C68" s="5" t="s">
        <v>219</v>
      </c>
      <c r="D68" s="5" t="s">
        <v>57</v>
      </c>
      <c r="E68" s="5" t="s">
        <v>181</v>
      </c>
      <c r="F68" s="5" t="s">
        <v>212</v>
      </c>
      <c r="G68" s="5" t="s">
        <v>182</v>
      </c>
      <c r="H68" s="10"/>
      <c r="I68" s="10" t="s">
        <v>31</v>
      </c>
      <c r="J68" s="6" t="n">
        <f aca="false">COUNTIF(Связи!$C:$C,A68)+IF(G68="",0,COUNTIF(Навигация!$B:$B,G68))</f>
        <v>21</v>
      </c>
      <c r="K68" s="6" t="n">
        <f aca="false">COUNTIF(Связи!$G:$G,A68)+COUNTIF(Навигация!$F:$F,A68)</f>
        <v>2</v>
      </c>
      <c r="L68" s="11" t="str">
        <f aca="false">IF(D68="Дизайн-система","вне графа",IF(AND(K68=0,OR(D68="Состояние",D68="Служебная")),"демо / вход по событию",IF(K68=0,"⚠ сирота",IF(J68=0,"⚠ тупик","ок"))))</f>
        <v>ок</v>
      </c>
      <c r="M68" s="5"/>
    </row>
    <row r="69" customFormat="false" ht="15" hidden="false" customHeight="false" outlineLevel="0" collapsed="false">
      <c r="A69" s="5" t="s">
        <v>220</v>
      </c>
      <c r="B69" s="5" t="s">
        <v>37</v>
      </c>
      <c r="C69" s="5" t="s">
        <v>221</v>
      </c>
      <c r="D69" s="5" t="s">
        <v>57</v>
      </c>
      <c r="E69" s="5" t="s">
        <v>181</v>
      </c>
      <c r="F69" s="5"/>
      <c r="G69" s="5" t="s">
        <v>182</v>
      </c>
      <c r="H69" s="10"/>
      <c r="I69" s="10" t="s">
        <v>31</v>
      </c>
      <c r="J69" s="6" t="n">
        <f aca="false">COUNTIF(Связи!$C:$C,A69)+IF(G69="",0,COUNTIF(Навигация!$B:$B,G69))</f>
        <v>19</v>
      </c>
      <c r="K69" s="6" t="n">
        <f aca="false">COUNTIF(Связи!$G:$G,A69)+COUNTIF(Навигация!$F:$F,A69)</f>
        <v>3</v>
      </c>
      <c r="L69" s="11" t="str">
        <f aca="false">IF(D69="Дизайн-система","вне графа",IF(AND(K69=0,OR(D69="Состояние",D69="Служебная")),"демо / вход по событию",IF(K69=0,"⚠ сирота",IF(J69=0,"⚠ тупик","ок"))))</f>
        <v>ок</v>
      </c>
      <c r="M69" s="5"/>
    </row>
    <row r="70" customFormat="false" ht="15" hidden="false" customHeight="false" outlineLevel="0" collapsed="false">
      <c r="A70" s="5" t="s">
        <v>222</v>
      </c>
      <c r="B70" s="5" t="s">
        <v>37</v>
      </c>
      <c r="C70" s="5" t="s">
        <v>223</v>
      </c>
      <c r="D70" s="5" t="s">
        <v>100</v>
      </c>
      <c r="E70" s="5" t="s">
        <v>181</v>
      </c>
      <c r="F70" s="5" t="s">
        <v>220</v>
      </c>
      <c r="G70" s="5"/>
      <c r="H70" s="10"/>
      <c r="I70" s="10" t="s">
        <v>31</v>
      </c>
      <c r="J70" s="6" t="n">
        <f aca="false">COUNTIF(Связи!$C:$C,A70)+IF(G70="",0,COUNTIF(Навигация!$B:$B,G70))</f>
        <v>2</v>
      </c>
      <c r="K70" s="6" t="n">
        <f aca="false">COUNTIF(Связи!$G:$G,A70)+COUNTIF(Навигация!$F:$F,A70)</f>
        <v>1</v>
      </c>
      <c r="L70" s="11" t="str">
        <f aca="false">IF(D70="Дизайн-система","вне графа",IF(AND(K70=0,OR(D70="Состояние",D70="Служебная")),"демо / вход по событию",IF(K70=0,"⚠ сирота",IF(J70=0,"⚠ тупик","ок"))))</f>
        <v>ок</v>
      </c>
      <c r="M70" s="5"/>
    </row>
    <row r="71" customFormat="false" ht="15" hidden="false" customHeight="false" outlineLevel="0" collapsed="false">
      <c r="A71" s="5" t="s">
        <v>224</v>
      </c>
      <c r="B71" s="5" t="s">
        <v>37</v>
      </c>
      <c r="C71" s="5" t="s">
        <v>225</v>
      </c>
      <c r="D71" s="5" t="s">
        <v>190</v>
      </c>
      <c r="E71" s="5" t="s">
        <v>181</v>
      </c>
      <c r="F71" s="5" t="s">
        <v>220</v>
      </c>
      <c r="G71" s="5"/>
      <c r="H71" s="10"/>
      <c r="I71" s="10" t="s">
        <v>31</v>
      </c>
      <c r="J71" s="6" t="n">
        <f aca="false">COUNTIF(Связи!$C:$C,A71)+IF(G71="",0,COUNTIF(Навигация!$B:$B,G71))</f>
        <v>2</v>
      </c>
      <c r="K71" s="6" t="n">
        <f aca="false">COUNTIF(Связи!$G:$G,A71)+COUNTIF(Навигация!$F:$F,A71)</f>
        <v>2</v>
      </c>
      <c r="L71" s="11" t="str">
        <f aca="false">IF(D71="Дизайн-система","вне графа",IF(AND(K71=0,OR(D71="Состояние",D71="Служебная")),"демо / вход по событию",IF(K71=0,"⚠ сирота",IF(J71=0,"⚠ тупик","ок"))))</f>
        <v>ок</v>
      </c>
      <c r="M71" s="5"/>
    </row>
    <row r="72" customFormat="false" ht="15" hidden="false" customHeight="false" outlineLevel="0" collapsed="false">
      <c r="A72" s="5" t="s">
        <v>226</v>
      </c>
      <c r="B72" s="5" t="s">
        <v>37</v>
      </c>
      <c r="C72" s="5" t="s">
        <v>227</v>
      </c>
      <c r="D72" s="5" t="s">
        <v>57</v>
      </c>
      <c r="E72" s="5" t="s">
        <v>181</v>
      </c>
      <c r="F72" s="5"/>
      <c r="G72" s="5" t="s">
        <v>182</v>
      </c>
      <c r="H72" s="10"/>
      <c r="I72" s="10" t="s">
        <v>31</v>
      </c>
      <c r="J72" s="6" t="n">
        <f aca="false">COUNTIF(Связи!$C:$C,A72)+IF(G72="",0,COUNTIF(Навигация!$B:$B,G72))</f>
        <v>20</v>
      </c>
      <c r="K72" s="6" t="n">
        <f aca="false">COUNTIF(Связи!$G:$G,A72)+COUNTIF(Навигация!$F:$F,A72)</f>
        <v>4</v>
      </c>
      <c r="L72" s="11" t="str">
        <f aca="false">IF(D72="Дизайн-система","вне графа",IF(AND(K72=0,OR(D72="Состояние",D72="Служебная")),"демо / вход по событию",IF(K72=0,"⚠ сирота",IF(J72=0,"⚠ тупик","ок"))))</f>
        <v>ок</v>
      </c>
      <c r="M72" s="5"/>
    </row>
    <row r="73" customFormat="false" ht="15" hidden="false" customHeight="false" outlineLevel="0" collapsed="false">
      <c r="A73" s="5" t="s">
        <v>228</v>
      </c>
      <c r="B73" s="5" t="s">
        <v>37</v>
      </c>
      <c r="C73" s="5" t="s">
        <v>229</v>
      </c>
      <c r="D73" s="5" t="s">
        <v>57</v>
      </c>
      <c r="E73" s="5" t="s">
        <v>181</v>
      </c>
      <c r="F73" s="5" t="s">
        <v>226</v>
      </c>
      <c r="G73" s="5" t="s">
        <v>182</v>
      </c>
      <c r="H73" s="10"/>
      <c r="I73" s="10" t="s">
        <v>31</v>
      </c>
      <c r="J73" s="6" t="n">
        <f aca="false">COUNTIF(Связи!$C:$C,A73)+IF(G73="",0,COUNTIF(Навигация!$B:$B,G73))</f>
        <v>19</v>
      </c>
      <c r="K73" s="6" t="n">
        <f aca="false">COUNTIF(Связи!$G:$G,A73)+COUNTIF(Навигация!$F:$F,A73)</f>
        <v>2</v>
      </c>
      <c r="L73" s="11" t="str">
        <f aca="false">IF(D73="Дизайн-система","вне графа",IF(AND(K73=0,OR(D73="Состояние",D73="Служебная")),"демо / вход по событию",IF(K73=0,"⚠ сирота",IF(J73=0,"⚠ тупик","ок"))))</f>
        <v>ок</v>
      </c>
      <c r="M73" s="5"/>
    </row>
    <row r="74" customFormat="false" ht="15" hidden="false" customHeight="false" outlineLevel="0" collapsed="false">
      <c r="A74" s="5" t="s">
        <v>230</v>
      </c>
      <c r="B74" s="5" t="s">
        <v>37</v>
      </c>
      <c r="C74" s="5" t="s">
        <v>231</v>
      </c>
      <c r="D74" s="5" t="s">
        <v>57</v>
      </c>
      <c r="E74" s="5" t="s">
        <v>181</v>
      </c>
      <c r="F74" s="5" t="s">
        <v>226</v>
      </c>
      <c r="G74" s="5" t="s">
        <v>182</v>
      </c>
      <c r="H74" s="10"/>
      <c r="I74" s="10" t="s">
        <v>31</v>
      </c>
      <c r="J74" s="6" t="n">
        <f aca="false">COUNTIF(Связи!$C:$C,A74)+IF(G74="",0,COUNTIF(Навигация!$B:$B,G74))</f>
        <v>19</v>
      </c>
      <c r="K74" s="6" t="n">
        <f aca="false">COUNTIF(Связи!$G:$G,A74)+COUNTIF(Навигация!$F:$F,A74)</f>
        <v>2</v>
      </c>
      <c r="L74" s="11" t="str">
        <f aca="false">IF(D74="Дизайн-система","вне графа",IF(AND(K74=0,OR(D74="Состояние",D74="Служебная")),"демо / вход по событию",IF(K74=0,"⚠ сирота",IF(J74=0,"⚠ тупик","ок"))))</f>
        <v>ок</v>
      </c>
      <c r="M74" s="5"/>
    </row>
    <row r="75" customFormat="false" ht="15" hidden="false" customHeight="false" outlineLevel="0" collapsed="false">
      <c r="A75" s="5" t="s">
        <v>232</v>
      </c>
      <c r="B75" s="5" t="s">
        <v>37</v>
      </c>
      <c r="C75" s="5" t="s">
        <v>233</v>
      </c>
      <c r="D75" s="5" t="s">
        <v>57</v>
      </c>
      <c r="E75" s="5" t="s">
        <v>181</v>
      </c>
      <c r="F75" s="5" t="s">
        <v>226</v>
      </c>
      <c r="G75" s="5" t="s">
        <v>182</v>
      </c>
      <c r="H75" s="10"/>
      <c r="I75" s="10" t="s">
        <v>31</v>
      </c>
      <c r="J75" s="6" t="n">
        <f aca="false">COUNTIF(Связи!$C:$C,A75)+IF(G75="",0,COUNTIF(Навигация!$B:$B,G75))</f>
        <v>20</v>
      </c>
      <c r="K75" s="6" t="n">
        <f aca="false">COUNTIF(Связи!$G:$G,A75)+COUNTIF(Навигация!$F:$F,A75)</f>
        <v>2</v>
      </c>
      <c r="L75" s="11" t="str">
        <f aca="false">IF(D75="Дизайн-система","вне графа",IF(AND(K75=0,OR(D75="Состояние",D75="Служебная")),"демо / вход по событию",IF(K75=0,"⚠ сирота",IF(J75=0,"⚠ тупик","ок"))))</f>
        <v>ок</v>
      </c>
      <c r="M75" s="5"/>
    </row>
    <row r="76" customFormat="false" ht="15" hidden="false" customHeight="false" outlineLevel="0" collapsed="false">
      <c r="A76" s="5" t="s">
        <v>234</v>
      </c>
      <c r="B76" s="5" t="s">
        <v>37</v>
      </c>
      <c r="C76" s="5" t="s">
        <v>235</v>
      </c>
      <c r="D76" s="5" t="s">
        <v>57</v>
      </c>
      <c r="E76" s="5" t="s">
        <v>181</v>
      </c>
      <c r="F76" s="5"/>
      <c r="G76" s="5" t="s">
        <v>182</v>
      </c>
      <c r="H76" s="10"/>
      <c r="I76" s="10" t="s">
        <v>31</v>
      </c>
      <c r="J76" s="6" t="n">
        <f aca="false">COUNTIF(Связи!$C:$C,A76)+IF(G76="",0,COUNTIF(Навигация!$B:$B,G76))</f>
        <v>19</v>
      </c>
      <c r="K76" s="6" t="n">
        <f aca="false">COUNTIF(Связи!$G:$G,A76)+COUNTIF(Навигация!$F:$F,A76)</f>
        <v>3</v>
      </c>
      <c r="L76" s="11" t="str">
        <f aca="false">IF(D76="Дизайн-система","вне графа",IF(AND(K76=0,OR(D76="Состояние",D76="Служебная")),"демо / вход по событию",IF(K76=0,"⚠ сирота",IF(J76=0,"⚠ тупик","ок"))))</f>
        <v>ок</v>
      </c>
      <c r="M76" s="5"/>
    </row>
    <row r="77" customFormat="false" ht="15" hidden="false" customHeight="false" outlineLevel="0" collapsed="false">
      <c r="A77" s="5" t="s">
        <v>236</v>
      </c>
      <c r="B77" s="5" t="s">
        <v>37</v>
      </c>
      <c r="C77" s="5" t="s">
        <v>237</v>
      </c>
      <c r="D77" s="5" t="s">
        <v>57</v>
      </c>
      <c r="E77" s="5" t="s">
        <v>181</v>
      </c>
      <c r="F77" s="5" t="s">
        <v>234</v>
      </c>
      <c r="G77" s="5" t="s">
        <v>182</v>
      </c>
      <c r="H77" s="10"/>
      <c r="I77" s="10" t="s">
        <v>31</v>
      </c>
      <c r="J77" s="6" t="n">
        <f aca="false">COUNTIF(Связи!$C:$C,A77)+IF(G77="",0,COUNTIF(Навигация!$B:$B,G77))</f>
        <v>20</v>
      </c>
      <c r="K77" s="6" t="n">
        <f aca="false">COUNTIF(Связи!$G:$G,A77)+COUNTIF(Навигация!$F:$F,A77)</f>
        <v>2</v>
      </c>
      <c r="L77" s="11" t="str">
        <f aca="false">IF(D77="Дизайн-система","вне графа",IF(AND(K77=0,OR(D77="Состояние",D77="Служебная")),"демо / вход по событию",IF(K77=0,"⚠ сирота",IF(J77=0,"⚠ тупик","ок"))))</f>
        <v>ок</v>
      </c>
      <c r="M77" s="5"/>
    </row>
    <row r="78" customFormat="false" ht="15" hidden="false" customHeight="false" outlineLevel="0" collapsed="false">
      <c r="A78" s="5" t="s">
        <v>238</v>
      </c>
      <c r="B78" s="5" t="s">
        <v>37</v>
      </c>
      <c r="C78" s="5" t="s">
        <v>239</v>
      </c>
      <c r="D78" s="5" t="s">
        <v>57</v>
      </c>
      <c r="E78" s="5" t="s">
        <v>181</v>
      </c>
      <c r="F78" s="5"/>
      <c r="G78" s="5" t="s">
        <v>182</v>
      </c>
      <c r="H78" s="10"/>
      <c r="I78" s="10" t="s">
        <v>31</v>
      </c>
      <c r="J78" s="6" t="n">
        <f aca="false">COUNTIF(Связи!$C:$C,A78)+IF(G78="",0,COUNTIF(Навигация!$B:$B,G78))</f>
        <v>19</v>
      </c>
      <c r="K78" s="6" t="n">
        <f aca="false">COUNTIF(Связи!$G:$G,A78)+COUNTIF(Навигация!$F:$F,A78)</f>
        <v>3</v>
      </c>
      <c r="L78" s="11" t="str">
        <f aca="false">IF(D78="Дизайн-система","вне графа",IF(AND(K78=0,OR(D78="Состояние",D78="Служебная")),"демо / вход по событию",IF(K78=0,"⚠ сирота",IF(J78=0,"⚠ тупик","ок"))))</f>
        <v>ок</v>
      </c>
      <c r="M78" s="5"/>
    </row>
    <row r="79" customFormat="false" ht="15" hidden="false" customHeight="false" outlineLevel="0" collapsed="false">
      <c r="A79" s="5" t="s">
        <v>240</v>
      </c>
      <c r="B79" s="5" t="s">
        <v>37</v>
      </c>
      <c r="C79" s="5" t="s">
        <v>241</v>
      </c>
      <c r="D79" s="5" t="s">
        <v>57</v>
      </c>
      <c r="E79" s="5" t="s">
        <v>181</v>
      </c>
      <c r="F79" s="5" t="s">
        <v>238</v>
      </c>
      <c r="G79" s="5" t="s">
        <v>182</v>
      </c>
      <c r="H79" s="10"/>
      <c r="I79" s="10" t="s">
        <v>31</v>
      </c>
      <c r="J79" s="6" t="n">
        <f aca="false">COUNTIF(Связи!$C:$C,A79)+IF(G79="",0,COUNTIF(Навигация!$B:$B,G79))</f>
        <v>19</v>
      </c>
      <c r="K79" s="6" t="n">
        <f aca="false">COUNTIF(Связи!$G:$G,A79)+COUNTIF(Навигация!$F:$F,A79)</f>
        <v>2</v>
      </c>
      <c r="L79" s="11" t="str">
        <f aca="false">IF(D79="Дизайн-система","вне графа",IF(AND(K79=0,OR(D79="Состояние",D79="Служебная")),"демо / вход по событию",IF(K79=0,"⚠ сирота",IF(J79=0,"⚠ тупик","ок"))))</f>
        <v>ок</v>
      </c>
      <c r="M79" s="5"/>
    </row>
    <row r="80" customFormat="false" ht="15" hidden="false" customHeight="false" outlineLevel="0" collapsed="false">
      <c r="A80" s="5" t="s">
        <v>242</v>
      </c>
      <c r="B80" s="5" t="s">
        <v>37</v>
      </c>
      <c r="C80" s="5" t="s">
        <v>243</v>
      </c>
      <c r="D80" s="5" t="s">
        <v>57</v>
      </c>
      <c r="E80" s="5" t="s">
        <v>181</v>
      </c>
      <c r="F80" s="5" t="s">
        <v>238</v>
      </c>
      <c r="G80" s="5" t="s">
        <v>182</v>
      </c>
      <c r="H80" s="10"/>
      <c r="I80" s="10" t="s">
        <v>31</v>
      </c>
      <c r="J80" s="6" t="n">
        <f aca="false">COUNTIF(Связи!$C:$C,A80)+IF(G80="",0,COUNTIF(Навигация!$B:$B,G80))</f>
        <v>19</v>
      </c>
      <c r="K80" s="6" t="n">
        <f aca="false">COUNTIF(Связи!$G:$G,A80)+COUNTIF(Навигация!$F:$F,A80)</f>
        <v>2</v>
      </c>
      <c r="L80" s="11" t="str">
        <f aca="false">IF(D80="Дизайн-система","вне графа",IF(AND(K80=0,OR(D80="Состояние",D80="Служебная")),"демо / вход по событию",IF(K80=0,"⚠ сирота",IF(J80=0,"⚠ тупик","ок"))))</f>
        <v>ок</v>
      </c>
      <c r="M80" s="5"/>
    </row>
    <row r="81" customFormat="false" ht="15" hidden="false" customHeight="false" outlineLevel="0" collapsed="false">
      <c r="A81" s="5" t="s">
        <v>244</v>
      </c>
      <c r="B81" s="5" t="s">
        <v>37</v>
      </c>
      <c r="C81" s="5" t="s">
        <v>245</v>
      </c>
      <c r="D81" s="5" t="s">
        <v>57</v>
      </c>
      <c r="E81" s="5" t="s">
        <v>181</v>
      </c>
      <c r="F81" s="5"/>
      <c r="G81" s="5" t="s">
        <v>182</v>
      </c>
      <c r="H81" s="10"/>
      <c r="I81" s="10" t="s">
        <v>31</v>
      </c>
      <c r="J81" s="6" t="n">
        <f aca="false">COUNTIF(Связи!$C:$C,A81)+IF(G81="",0,COUNTIF(Навигация!$B:$B,G81))</f>
        <v>19</v>
      </c>
      <c r="K81" s="6" t="n">
        <f aca="false">COUNTIF(Связи!$G:$G,A81)+COUNTIF(Навигация!$F:$F,A81)</f>
        <v>3</v>
      </c>
      <c r="L81" s="11" t="str">
        <f aca="false">IF(D81="Дизайн-система","вне графа",IF(AND(K81=0,OR(D81="Состояние",D81="Служебная")),"демо / вход по событию",IF(K81=0,"⚠ сирота",IF(J81=0,"⚠ тупик","ок"))))</f>
        <v>ок</v>
      </c>
      <c r="M81" s="5" t="s">
        <v>246</v>
      </c>
    </row>
    <row r="82" customFormat="false" ht="15" hidden="false" customHeight="false" outlineLevel="0" collapsed="false">
      <c r="A82" s="5" t="s">
        <v>247</v>
      </c>
      <c r="B82" s="5" t="s">
        <v>37</v>
      </c>
      <c r="C82" s="5" t="s">
        <v>248</v>
      </c>
      <c r="D82" s="5" t="s">
        <v>57</v>
      </c>
      <c r="E82" s="5" t="s">
        <v>181</v>
      </c>
      <c r="F82" s="5" t="s">
        <v>244</v>
      </c>
      <c r="G82" s="5" t="s">
        <v>182</v>
      </c>
      <c r="H82" s="10"/>
      <c r="I82" s="10" t="s">
        <v>31</v>
      </c>
      <c r="J82" s="6" t="n">
        <f aca="false">COUNTIF(Связи!$C:$C,A82)+IF(G82="",0,COUNTIF(Навигация!$B:$B,G82))</f>
        <v>20</v>
      </c>
      <c r="K82" s="6" t="n">
        <f aca="false">COUNTIF(Связи!$G:$G,A82)+COUNTIF(Навигация!$F:$F,A82)</f>
        <v>2</v>
      </c>
      <c r="L82" s="11" t="str">
        <f aca="false">IF(D82="Дизайн-система","вне графа",IF(AND(K82=0,OR(D82="Состояние",D82="Служебная")),"демо / вход по событию",IF(K82=0,"⚠ сирота",IF(J82=0,"⚠ тупик","ок"))))</f>
        <v>ок</v>
      </c>
      <c r="M82" s="5" t="s">
        <v>246</v>
      </c>
    </row>
    <row r="83" customFormat="false" ht="15" hidden="false" customHeight="false" outlineLevel="0" collapsed="false">
      <c r="A83" s="5" t="s">
        <v>249</v>
      </c>
      <c r="B83" s="5" t="s">
        <v>37</v>
      </c>
      <c r="C83" s="5" t="s">
        <v>250</v>
      </c>
      <c r="D83" s="5" t="s">
        <v>57</v>
      </c>
      <c r="E83" s="5" t="s">
        <v>181</v>
      </c>
      <c r="F83" s="5"/>
      <c r="G83" s="5" t="s">
        <v>182</v>
      </c>
      <c r="H83" s="10"/>
      <c r="I83" s="10" t="s">
        <v>31</v>
      </c>
      <c r="J83" s="6" t="n">
        <f aca="false">COUNTIF(Связи!$C:$C,A83)+IF(G83="",0,COUNTIF(Навигация!$B:$B,G83))</f>
        <v>18</v>
      </c>
      <c r="K83" s="6" t="n">
        <f aca="false">COUNTIF(Связи!$G:$G,A83)+COUNTIF(Навигация!$F:$F,A83)</f>
        <v>1</v>
      </c>
      <c r="L83" s="11" t="str">
        <f aca="false">IF(D83="Дизайн-система","вне графа",IF(AND(K83=0,OR(D83="Состояние",D83="Служебная")),"демо / вход по событию",IF(K83=0,"⚠ сирота",IF(J83=0,"⚠ тупик","ок"))))</f>
        <v>ок</v>
      </c>
      <c r="M83" s="5" t="s">
        <v>246</v>
      </c>
    </row>
    <row r="84" customFormat="false" ht="15" hidden="false" customHeight="false" outlineLevel="0" collapsed="false">
      <c r="A84" s="5" t="s">
        <v>251</v>
      </c>
      <c r="B84" s="5" t="s">
        <v>37</v>
      </c>
      <c r="C84" s="5" t="s">
        <v>252</v>
      </c>
      <c r="D84" s="5" t="s">
        <v>57</v>
      </c>
      <c r="E84" s="5" t="s">
        <v>181</v>
      </c>
      <c r="F84" s="5"/>
      <c r="G84" s="5" t="s">
        <v>182</v>
      </c>
      <c r="H84" s="10"/>
      <c r="I84" s="10" t="s">
        <v>31</v>
      </c>
      <c r="J84" s="6" t="n">
        <f aca="false">COUNTIF(Связи!$C:$C,A84)+IF(G84="",0,COUNTIF(Навигация!$B:$B,G84))</f>
        <v>17</v>
      </c>
      <c r="K84" s="6" t="n">
        <f aca="false">COUNTIF(Связи!$G:$G,A84)+COUNTIF(Навигация!$F:$F,A84)</f>
        <v>1</v>
      </c>
      <c r="L84" s="11" t="str">
        <f aca="false">IF(D84="Дизайн-система","вне графа",IF(AND(K84=0,OR(D84="Состояние",D84="Служебная")),"демо / вход по событию",IF(K84=0,"⚠ сирота",IF(J84=0,"⚠ тупик","ок"))))</f>
        <v>ок</v>
      </c>
      <c r="M84" s="5" t="s">
        <v>246</v>
      </c>
    </row>
    <row r="85" customFormat="false" ht="15" hidden="false" customHeight="false" outlineLevel="0" collapsed="false">
      <c r="A85" s="5" t="s">
        <v>253</v>
      </c>
      <c r="B85" s="5" t="s">
        <v>37</v>
      </c>
      <c r="C85" s="5" t="s">
        <v>254</v>
      </c>
      <c r="D85" s="5" t="s">
        <v>100</v>
      </c>
      <c r="E85" s="5" t="s">
        <v>181</v>
      </c>
      <c r="F85" s="5"/>
      <c r="G85" s="5"/>
      <c r="H85" s="10"/>
      <c r="I85" s="10" t="s">
        <v>31</v>
      </c>
      <c r="J85" s="6" t="n">
        <f aca="false">COUNTIF(Связи!$C:$C,A85)+IF(G85="",0,COUNTIF(Навигация!$B:$B,G85))</f>
        <v>2</v>
      </c>
      <c r="K85" s="6" t="n">
        <f aca="false">COUNTIF(Связи!$G:$G,A85)+COUNTIF(Навигация!$F:$F,A85)</f>
        <v>4</v>
      </c>
      <c r="L85" s="11" t="str">
        <f aca="false">IF(D85="Дизайн-система","вне графа",IF(AND(K85=0,OR(D85="Состояние",D85="Служебная")),"демо / вход по событию",IF(K85=0,"⚠ сирота",IF(J85=0,"⚠ тупик","ок"))))</f>
        <v>ок</v>
      </c>
      <c r="M85" s="5" t="s">
        <v>255</v>
      </c>
    </row>
    <row r="86" customFormat="false" ht="15" hidden="false" customHeight="false" outlineLevel="0" collapsed="false">
      <c r="A86" s="5" t="s">
        <v>256</v>
      </c>
      <c r="B86" s="5" t="s">
        <v>37</v>
      </c>
      <c r="C86" s="5" t="s">
        <v>257</v>
      </c>
      <c r="D86" s="5" t="s">
        <v>168</v>
      </c>
      <c r="E86" s="5" t="s">
        <v>181</v>
      </c>
      <c r="F86" s="5" t="s">
        <v>179</v>
      </c>
      <c r="G86" s="5"/>
      <c r="H86" s="10"/>
      <c r="I86" s="10" t="s">
        <v>31</v>
      </c>
      <c r="J86" s="6" t="n">
        <f aca="false">COUNTIF(Связи!$C:$C,A86)+IF(G86="",0,COUNTIF(Навигация!$B:$B,G86))</f>
        <v>1</v>
      </c>
      <c r="K86" s="6" t="n">
        <f aca="false">COUNTIF(Связи!$G:$G,A86)+COUNTIF(Навигация!$F:$F,A86)</f>
        <v>0</v>
      </c>
      <c r="L86" s="11" t="str">
        <f aca="false">IF(D86="Дизайн-система","вне графа",IF(AND(K86=0,OR(D86="Состояние",D86="Служебная")),"демо / вход по событию",IF(K86=0,"⚠ сирота",IF(J86=0,"⚠ тупик","ок"))))</f>
        <v>демо / вход по событию</v>
      </c>
      <c r="M86" s="5"/>
    </row>
    <row r="87" customFormat="false" ht="15" hidden="false" customHeight="false" outlineLevel="0" collapsed="false">
      <c r="A87" s="5" t="s">
        <v>258</v>
      </c>
      <c r="B87" s="5" t="s">
        <v>37</v>
      </c>
      <c r="C87" s="5" t="s">
        <v>259</v>
      </c>
      <c r="D87" s="5" t="s">
        <v>168</v>
      </c>
      <c r="E87" s="5" t="s">
        <v>181</v>
      </c>
      <c r="F87" s="5" t="s">
        <v>179</v>
      </c>
      <c r="G87" s="5" t="s">
        <v>182</v>
      </c>
      <c r="H87" s="10"/>
      <c r="I87" s="10" t="s">
        <v>31</v>
      </c>
      <c r="J87" s="6" t="n">
        <f aca="false">COUNTIF(Связи!$C:$C,A87)+IF(G87="",0,COUNTIF(Навигация!$B:$B,G87))</f>
        <v>18</v>
      </c>
      <c r="K87" s="6" t="n">
        <f aca="false">COUNTIF(Связи!$G:$G,A87)+COUNTIF(Навигация!$F:$F,A87)</f>
        <v>0</v>
      </c>
      <c r="L87" s="11" t="str">
        <f aca="false">IF(D87="Дизайн-система","вне графа",IF(AND(K87=0,OR(D87="Состояние",D87="Служебная")),"демо / вход по событию",IF(K87=0,"⚠ сирота",IF(J87=0,"⚠ тупик","ок"))))</f>
        <v>демо / вход по событию</v>
      </c>
      <c r="M87" s="5"/>
    </row>
    <row r="88" customFormat="false" ht="15" hidden="false" customHeight="false" outlineLevel="0" collapsed="false">
      <c r="A88" s="5" t="s">
        <v>260</v>
      </c>
      <c r="B88" s="5" t="s">
        <v>37</v>
      </c>
      <c r="C88" s="5" t="s">
        <v>261</v>
      </c>
      <c r="D88" s="5" t="s">
        <v>168</v>
      </c>
      <c r="E88" s="5" t="s">
        <v>181</v>
      </c>
      <c r="F88" s="5" t="s">
        <v>179</v>
      </c>
      <c r="G88" s="5" t="s">
        <v>182</v>
      </c>
      <c r="H88" s="10"/>
      <c r="I88" s="10" t="s">
        <v>31</v>
      </c>
      <c r="J88" s="6" t="n">
        <f aca="false">COUNTIF(Связи!$C:$C,A88)+IF(G88="",0,COUNTIF(Навигация!$B:$B,G88))</f>
        <v>17</v>
      </c>
      <c r="K88" s="6" t="n">
        <f aca="false">COUNTIF(Связи!$G:$G,A88)+COUNTIF(Навигация!$F:$F,A88)</f>
        <v>0</v>
      </c>
      <c r="L88" s="11" t="str">
        <f aca="false">IF(D88="Дизайн-система","вне графа",IF(AND(K88=0,OR(D88="Состояние",D88="Служебная")),"демо / вход по событию",IF(K88=0,"⚠ сирота",IF(J88=0,"⚠ тупик","ок"))))</f>
        <v>демо / вход по событию</v>
      </c>
      <c r="M88" s="5"/>
    </row>
    <row r="89" customFormat="false" ht="15" hidden="false" customHeight="false" outlineLevel="0" collapsed="false">
      <c r="A89" s="5" t="s">
        <v>262</v>
      </c>
      <c r="B89" s="5" t="s">
        <v>37</v>
      </c>
      <c r="C89" s="5" t="s">
        <v>263</v>
      </c>
      <c r="D89" s="5" t="s">
        <v>100</v>
      </c>
      <c r="E89" s="5" t="s">
        <v>181</v>
      </c>
      <c r="F89" s="5" t="s">
        <v>218</v>
      </c>
      <c r="G89" s="5"/>
      <c r="H89" s="10"/>
      <c r="I89" s="10" t="s">
        <v>31</v>
      </c>
      <c r="J89" s="6" t="n">
        <f aca="false">COUNTIF(Связи!$C:$C,A89)+IF(G89="",0,COUNTIF(Навигация!$B:$B,G89))</f>
        <v>2</v>
      </c>
      <c r="K89" s="6" t="n">
        <f aca="false">COUNTIF(Связи!$G:$G,A89)+COUNTIF(Навигация!$F:$F,A89)</f>
        <v>1</v>
      </c>
      <c r="L89" s="11" t="str">
        <f aca="false">IF(D89="Дизайн-система","вне графа",IF(AND(K89=0,OR(D89="Состояние",D89="Служебная")),"демо / вход по событию",IF(K89=0,"⚠ сирота",IF(J89=0,"⚠ тупик","ок"))))</f>
        <v>ок</v>
      </c>
      <c r="M89" s="5"/>
    </row>
    <row r="90" customFormat="false" ht="15" hidden="false" customHeight="false" outlineLevel="0" collapsed="false">
      <c r="A90" s="5" t="s">
        <v>264</v>
      </c>
      <c r="B90" s="5" t="s">
        <v>37</v>
      </c>
      <c r="C90" s="5" t="s">
        <v>265</v>
      </c>
      <c r="D90" s="5" t="s">
        <v>168</v>
      </c>
      <c r="E90" s="5" t="s">
        <v>181</v>
      </c>
      <c r="F90" s="5" t="s">
        <v>218</v>
      </c>
      <c r="G90" s="5" t="s">
        <v>182</v>
      </c>
      <c r="H90" s="10"/>
      <c r="I90" s="10" t="s">
        <v>31</v>
      </c>
      <c r="J90" s="6" t="n">
        <f aca="false">COUNTIF(Связи!$C:$C,A90)+IF(G90="",0,COUNTIF(Навигация!$B:$B,G90))</f>
        <v>17</v>
      </c>
      <c r="K90" s="6" t="n">
        <f aca="false">COUNTIF(Связи!$G:$G,A90)+COUNTIF(Навигация!$F:$F,A90)</f>
        <v>0</v>
      </c>
      <c r="L90" s="11" t="str">
        <f aca="false">IF(D90="Дизайн-система","вне графа",IF(AND(K90=0,OR(D90="Состояние",D90="Служебная")),"демо / вход по событию",IF(K90=0,"⚠ сирота",IF(J90=0,"⚠ тупик","ок"))))</f>
        <v>демо / вход по событию</v>
      </c>
      <c r="M90" s="5"/>
    </row>
    <row r="91" customFormat="false" ht="15" hidden="false" customHeight="false" outlineLevel="0" collapsed="false">
      <c r="A91" s="5" t="s">
        <v>266</v>
      </c>
      <c r="B91" s="5" t="s">
        <v>37</v>
      </c>
      <c r="C91" s="5" t="s">
        <v>267</v>
      </c>
      <c r="D91" s="5" t="s">
        <v>100</v>
      </c>
      <c r="E91" s="5" t="s">
        <v>181</v>
      </c>
      <c r="F91" s="5"/>
      <c r="G91" s="5"/>
      <c r="H91" s="10"/>
      <c r="I91" s="10" t="s">
        <v>31</v>
      </c>
      <c r="J91" s="6" t="n">
        <f aca="false">COUNTIF(Связи!$C:$C,A91)+IF(G91="",0,COUNTIF(Навигация!$B:$B,G91))</f>
        <v>2</v>
      </c>
      <c r="K91" s="6" t="n">
        <f aca="false">COUNTIF(Связи!$G:$G,A91)+COUNTIF(Навигация!$F:$F,A91)</f>
        <v>2</v>
      </c>
      <c r="L91" s="11" t="str">
        <f aca="false">IF(D91="Дизайн-система","вне графа",IF(AND(K91=0,OR(D91="Состояние",D91="Служебная")),"демо / вход по событию",IF(K91=0,"⚠ сирота",IF(J91=0,"⚠ тупик","ок"))))</f>
        <v>ок</v>
      </c>
      <c r="M91" s="5"/>
    </row>
    <row r="92" customFormat="false" ht="15" hidden="false" customHeight="false" outlineLevel="0" collapsed="false">
      <c r="A92" s="5" t="s">
        <v>268</v>
      </c>
      <c r="B92" s="5" t="s">
        <v>38</v>
      </c>
      <c r="C92" s="5" t="s">
        <v>269</v>
      </c>
      <c r="D92" s="5" t="s">
        <v>270</v>
      </c>
      <c r="E92" s="5" t="s">
        <v>271</v>
      </c>
      <c r="F92" s="5"/>
      <c r="G92" s="5"/>
      <c r="H92" s="10"/>
      <c r="I92" s="10" t="s">
        <v>31</v>
      </c>
      <c r="J92" s="6" t="n">
        <f aca="false">COUNTIF(Связи!$C:$C,A92)+IF(G92="",0,COUNTIF(Навигация!$B:$B,G92))</f>
        <v>1</v>
      </c>
      <c r="K92" s="6" t="n">
        <f aca="false">COUNTIF(Связи!$G:$G,A92)+COUNTIF(Навигация!$F:$F,A92)</f>
        <v>0</v>
      </c>
      <c r="L92" s="11" t="str">
        <f aca="false">IF(D92="Дизайн-система","вне графа",IF(AND(K92=0,OR(D92="Состояние",D92="Служебная")),"демо / вход по событию",IF(K92=0,"⚠ сирота",IF(J92=0,"⚠ тупик","ок"))))</f>
        <v>демо / вход по событию</v>
      </c>
      <c r="M92" s="5"/>
    </row>
    <row r="93" customFormat="false" ht="15" hidden="false" customHeight="false" outlineLevel="0" collapsed="false">
      <c r="A93" s="5" t="s">
        <v>272</v>
      </c>
      <c r="B93" s="5" t="s">
        <v>38</v>
      </c>
      <c r="C93" s="5" t="s">
        <v>273</v>
      </c>
      <c r="D93" s="5" t="s">
        <v>270</v>
      </c>
      <c r="E93" s="5" t="s">
        <v>271</v>
      </c>
      <c r="F93" s="5"/>
      <c r="G93" s="5"/>
      <c r="H93" s="10"/>
      <c r="I93" s="10" t="s">
        <v>31</v>
      </c>
      <c r="J93" s="6" t="n">
        <f aca="false">COUNTIF(Связи!$C:$C,A93)+IF(G93="",0,COUNTIF(Навигация!$B:$B,G93))</f>
        <v>2</v>
      </c>
      <c r="K93" s="6" t="n">
        <f aca="false">COUNTIF(Связи!$G:$G,A93)+COUNTIF(Навигация!$F:$F,A93)</f>
        <v>0</v>
      </c>
      <c r="L93" s="11" t="str">
        <f aca="false">IF(D93="Дизайн-система","вне графа",IF(AND(K93=0,OR(D93="Состояние",D93="Служебная")),"демо / вход по событию",IF(K93=0,"⚠ сирота",IF(J93=0,"⚠ тупик","ок"))))</f>
        <v>демо / вход по событию</v>
      </c>
      <c r="M93" s="5"/>
    </row>
    <row r="94" customFormat="false" ht="15" hidden="false" customHeight="false" outlineLevel="0" collapsed="false">
      <c r="A94" s="5" t="s">
        <v>274</v>
      </c>
      <c r="B94" s="5" t="s">
        <v>38</v>
      </c>
      <c r="C94" s="5" t="s">
        <v>275</v>
      </c>
      <c r="D94" s="5" t="s">
        <v>270</v>
      </c>
      <c r="E94" s="5" t="s">
        <v>271</v>
      </c>
      <c r="F94" s="5"/>
      <c r="G94" s="5"/>
      <c r="H94" s="10"/>
      <c r="I94" s="10" t="s">
        <v>31</v>
      </c>
      <c r="J94" s="6" t="n">
        <f aca="false">COUNTIF(Связи!$C:$C,A94)+IF(G94="",0,COUNTIF(Навигация!$B:$B,G94))</f>
        <v>1</v>
      </c>
      <c r="K94" s="6" t="n">
        <f aca="false">COUNTIF(Связи!$G:$G,A94)+COUNTIF(Навигация!$F:$F,A94)</f>
        <v>0</v>
      </c>
      <c r="L94" s="11" t="str">
        <f aca="false">IF(D94="Дизайн-система","вне графа",IF(AND(K94=0,OR(D94="Состояние",D94="Служебная")),"демо / вход по событию",IF(K94=0,"⚠ сирота",IF(J94=0,"⚠ тупик","ок"))))</f>
        <v>демо / вход по событию</v>
      </c>
      <c r="M94" s="5"/>
    </row>
    <row r="95" customFormat="false" ht="15" hidden="false" customHeight="false" outlineLevel="0" collapsed="false">
      <c r="A95" s="5" t="s">
        <v>276</v>
      </c>
      <c r="B95" s="5" t="s">
        <v>38</v>
      </c>
      <c r="C95" s="5" t="s">
        <v>277</v>
      </c>
      <c r="D95" s="5" t="s">
        <v>270</v>
      </c>
      <c r="E95" s="5" t="s">
        <v>73</v>
      </c>
      <c r="F95" s="5"/>
      <c r="G95" s="5"/>
      <c r="H95" s="10"/>
      <c r="I95" s="10" t="s">
        <v>31</v>
      </c>
      <c r="J95" s="6" t="n">
        <f aca="false">COUNTIF(Связи!$C:$C,A95)+IF(G95="",0,COUNTIF(Навигация!$B:$B,G95))</f>
        <v>2</v>
      </c>
      <c r="K95" s="6" t="n">
        <f aca="false">COUNTIF(Связи!$G:$G,A95)+COUNTIF(Навигация!$F:$F,A95)</f>
        <v>0</v>
      </c>
      <c r="L95" s="11" t="str">
        <f aca="false">IF(D95="Дизайн-система","вне графа",IF(AND(K95=0,OR(D95="Состояние",D95="Служебная")),"демо / вход по событию",IF(K95=0,"⚠ сирота",IF(J95=0,"⚠ тупик","ок"))))</f>
        <v>демо / вход по событию</v>
      </c>
      <c r="M95" s="5"/>
    </row>
    <row r="96" customFormat="false" ht="15" hidden="false" customHeight="false" outlineLevel="0" collapsed="false">
      <c r="A96" s="5" t="s">
        <v>278</v>
      </c>
      <c r="B96" s="5" t="s">
        <v>39</v>
      </c>
      <c r="C96" s="5" t="s">
        <v>279</v>
      </c>
      <c r="D96" s="5" t="s">
        <v>279</v>
      </c>
      <c r="E96" s="5" t="s">
        <v>280</v>
      </c>
      <c r="F96" s="5"/>
      <c r="G96" s="5"/>
      <c r="H96" s="10"/>
      <c r="I96" s="10" t="s">
        <v>31</v>
      </c>
      <c r="J96" s="6" t="n">
        <f aca="false">COUNTIF(Связи!$C:$C,A96)+IF(G96="",0,COUNTIF(Навигация!$B:$B,G96))</f>
        <v>0</v>
      </c>
      <c r="K96" s="6" t="n">
        <f aca="false">COUNTIF(Связи!$G:$G,A96)+COUNTIF(Навигация!$F:$F,A96)</f>
        <v>0</v>
      </c>
      <c r="L96" s="11" t="str">
        <f aca="false">IF(D96="Дизайн-система","вне графа",IF(AND(K96=0,OR(D96="Состояние",D96="Служебная")),"демо / вход по событию",IF(K96=0,"⚠ сирота",IF(J96=0,"⚠ тупик","ок"))))</f>
        <v>вне графа</v>
      </c>
      <c r="M96" s="5" t="s">
        <v>281</v>
      </c>
    </row>
  </sheetData>
  <autoFilter ref="A1:M96"/>
  <conditionalFormatting sqref="L2:L500">
    <cfRule type="expression" priority="2" aboveAverage="0" equalAverage="0" bottom="0" percent="0" rank="0" text="" dxfId="5">
      <formula>LEFT(L2,1)="⚠"</formula>
    </cfRule>
  </conditionalFormatting>
  <dataValidations count="2">
    <dataValidation allowBlank="true" errorStyle="stop" operator="between" showDropDown="false" showErrorMessage="false" showInputMessage="false" sqref="I2:I500" type="list">
      <formula1>"Не сверено,Совпадает,Другое название,Нет в проекте,Лишняя в проекте"</formula1>
      <formula2>0</formula2>
    </dataValidation>
    <dataValidation allowBlank="true" errorStyle="stop" operator="between" showDropDown="false" showErrorMessage="false" showInputMessage="false" sqref="D2:D500" type="list">
      <formula1>"Страница,Модалка,Шторка,Панель,Поповер,Состояние,Служебная,Дизайн-система"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16"/>
  </cols>
  <sheetData>
    <row r="1" customFormat="false" ht="31.5" hidden="false" customHeight="true" outlineLevel="0" collapsed="false">
      <c r="A1" s="4" t="s">
        <v>43</v>
      </c>
      <c r="B1" s="4" t="s">
        <v>282</v>
      </c>
      <c r="C1" s="4" t="s">
        <v>283</v>
      </c>
      <c r="D1" s="4" t="s">
        <v>284</v>
      </c>
      <c r="E1" s="4" t="s">
        <v>285</v>
      </c>
      <c r="F1" s="4" t="s">
        <v>286</v>
      </c>
      <c r="G1" s="4" t="s">
        <v>287</v>
      </c>
      <c r="H1" s="4" t="s">
        <v>288</v>
      </c>
      <c r="I1" s="4" t="s">
        <v>54</v>
      </c>
      <c r="J1" s="4" t="s">
        <v>289</v>
      </c>
    </row>
    <row r="2" customFormat="false" ht="15" hidden="false" customHeight="false" outlineLevel="0" collapsed="false">
      <c r="A2" s="5" t="s">
        <v>290</v>
      </c>
      <c r="B2" s="5" t="s">
        <v>59</v>
      </c>
      <c r="C2" s="5" t="s">
        <v>291</v>
      </c>
      <c r="D2" s="5" t="s">
        <v>292</v>
      </c>
      <c r="E2" s="5" t="s">
        <v>293</v>
      </c>
      <c r="F2" s="5" t="s">
        <v>294</v>
      </c>
      <c r="G2" s="11" t="str">
        <f aca="false">IF(F2="","⚠ не определено",IF(F2="ANCHOR","Прокрутка к секции",IF(F2="EXT","Внешняя ссылка",IF(F2="PARENT","Вернуться туда, откуда открыто",IFERROR(INDEX(Реестр!$C:$C,MATCH(F2,Реестр!$A:$A,0)),"⚠ нет в реестре")))))</f>
        <v>Прокрутка к секции</v>
      </c>
      <c r="H2" s="5" t="s">
        <v>295</v>
      </c>
      <c r="I2" s="5" t="s">
        <v>296</v>
      </c>
      <c r="J2" s="10" t="s">
        <v>297</v>
      </c>
    </row>
    <row r="3" customFormat="false" ht="15" hidden="false" customHeight="false" outlineLevel="0" collapsed="false">
      <c r="A3" s="5" t="s">
        <v>298</v>
      </c>
      <c r="B3" s="5" t="s">
        <v>59</v>
      </c>
      <c r="C3" s="5" t="s">
        <v>291</v>
      </c>
      <c r="D3" s="5" t="s">
        <v>299</v>
      </c>
      <c r="E3" s="5" t="s">
        <v>293</v>
      </c>
      <c r="F3" s="5" t="s">
        <v>294</v>
      </c>
      <c r="G3" s="11" t="str">
        <f aca="false">IF(F3="","⚠ не определено",IF(F3="ANCHOR","Прокрутка к секции",IF(F3="EXT","Внешняя ссылка",IF(F3="PARENT","Вернуться туда, откуда открыто",IFERROR(INDEX(Реестр!$C:$C,MATCH(F3,Реестр!$A:$A,0)),"⚠ нет в реестре")))))</f>
        <v>Прокрутка к секции</v>
      </c>
      <c r="H3" s="5" t="s">
        <v>295</v>
      </c>
      <c r="I3" s="5" t="s">
        <v>300</v>
      </c>
      <c r="J3" s="10" t="s">
        <v>297</v>
      </c>
    </row>
    <row r="4" customFormat="false" ht="15" hidden="false" customHeight="false" outlineLevel="0" collapsed="false">
      <c r="A4" s="5" t="s">
        <v>301</v>
      </c>
      <c r="B4" s="5" t="s">
        <v>59</v>
      </c>
      <c r="C4" s="5" t="s">
        <v>291</v>
      </c>
      <c r="D4" s="5" t="s">
        <v>302</v>
      </c>
      <c r="E4" s="5" t="s">
        <v>293</v>
      </c>
      <c r="F4" s="5" t="s">
        <v>294</v>
      </c>
      <c r="G4" s="11" t="str">
        <f aca="false">IF(F4="","⚠ не определено",IF(F4="ANCHOR","Прокрутка к секции",IF(F4="EXT","Внешняя ссылка",IF(F4="PARENT","Вернуться туда, откуда открыто",IFERROR(INDEX(Реестр!$C:$C,MATCH(F4,Реестр!$A:$A,0)),"⚠ нет в реестре")))))</f>
        <v>Прокрутка к секции</v>
      </c>
      <c r="H4" s="5" t="s">
        <v>295</v>
      </c>
      <c r="I4" s="5"/>
      <c r="J4" s="10" t="s">
        <v>297</v>
      </c>
    </row>
    <row r="5" customFormat="false" ht="15" hidden="false" customHeight="false" outlineLevel="0" collapsed="false">
      <c r="A5" s="5" t="s">
        <v>303</v>
      </c>
      <c r="B5" s="5" t="s">
        <v>59</v>
      </c>
      <c r="C5" s="5" t="s">
        <v>291</v>
      </c>
      <c r="D5" s="5" t="s">
        <v>304</v>
      </c>
      <c r="E5" s="5" t="s">
        <v>293</v>
      </c>
      <c r="F5" s="5" t="s">
        <v>294</v>
      </c>
      <c r="G5" s="11" t="str">
        <f aca="false">IF(F5="","⚠ не определено",IF(F5="ANCHOR","Прокрутка к секции",IF(F5="EXT","Внешняя ссылка",IF(F5="PARENT","Вернуться туда, откуда открыто",IFERROR(INDEX(Реестр!$C:$C,MATCH(F5,Реестр!$A:$A,0)),"⚠ нет в реестре")))))</f>
        <v>Прокрутка к секции</v>
      </c>
      <c r="H5" s="5" t="s">
        <v>295</v>
      </c>
      <c r="I5" s="5"/>
      <c r="J5" s="10" t="s">
        <v>297</v>
      </c>
    </row>
    <row r="6" customFormat="false" ht="15" hidden="false" customHeight="false" outlineLevel="0" collapsed="false">
      <c r="A6" s="5" t="s">
        <v>305</v>
      </c>
      <c r="B6" s="5" t="s">
        <v>59</v>
      </c>
      <c r="C6" s="5" t="s">
        <v>291</v>
      </c>
      <c r="D6" s="5" t="s">
        <v>306</v>
      </c>
      <c r="E6" s="5" t="s">
        <v>293</v>
      </c>
      <c r="F6" s="5" t="s">
        <v>294</v>
      </c>
      <c r="G6" s="11" t="str">
        <f aca="false">IF(F6="","⚠ не определено",IF(F6="ANCHOR","Прокрутка к секции",IF(F6="EXT","Внешняя ссылка",IF(F6="PARENT","Вернуться туда, откуда открыто",IFERROR(INDEX(Реестр!$C:$C,MATCH(F6,Реестр!$A:$A,0)),"⚠ нет в реестре")))))</f>
        <v>Прокрутка к секции</v>
      </c>
      <c r="H6" s="5" t="s">
        <v>295</v>
      </c>
      <c r="I6" s="5"/>
      <c r="J6" s="10" t="s">
        <v>297</v>
      </c>
    </row>
    <row r="7" customFormat="false" ht="15" hidden="false" customHeight="false" outlineLevel="0" collapsed="false">
      <c r="A7" s="5" t="s">
        <v>307</v>
      </c>
      <c r="B7" s="5" t="s">
        <v>59</v>
      </c>
      <c r="C7" s="5" t="s">
        <v>291</v>
      </c>
      <c r="D7" s="5" t="s">
        <v>308</v>
      </c>
      <c r="E7" s="5" t="s">
        <v>293</v>
      </c>
      <c r="F7" s="5" t="s">
        <v>294</v>
      </c>
      <c r="G7" s="11" t="str">
        <f aca="false">IF(F7="","⚠ не определено",IF(F7="ANCHOR","Прокрутка к секции",IF(F7="EXT","Внешняя ссылка",IF(F7="PARENT","Вернуться туда, откуда открыто",IFERROR(INDEX(Реестр!$C:$C,MATCH(F7,Реестр!$A:$A,0)),"⚠ нет в реестре")))))</f>
        <v>Прокрутка к секции</v>
      </c>
      <c r="H7" s="5" t="s">
        <v>295</v>
      </c>
      <c r="I7" s="5"/>
      <c r="J7" s="10" t="s">
        <v>297</v>
      </c>
    </row>
    <row r="8" customFormat="false" ht="23.85" hidden="false" customHeight="false" outlineLevel="0" collapsed="false">
      <c r="A8" s="5" t="s">
        <v>309</v>
      </c>
      <c r="B8" s="5" t="s">
        <v>59</v>
      </c>
      <c r="C8" s="5" t="s">
        <v>291</v>
      </c>
      <c r="D8" s="5" t="s">
        <v>310</v>
      </c>
      <c r="E8" s="5" t="s">
        <v>311</v>
      </c>
      <c r="F8" s="5" t="s">
        <v>82</v>
      </c>
      <c r="G8" s="11" t="str">
        <f aca="false">IF(F8="","⚠ не определено",IF(F8="ANCHOR","Прокрутка к секции",IF(F8="EXT","Внешняя ссылка",IF(F8="PARENT","Вернуться туда, откуда открыто",IFERROR(INDEX(Реестр!$C:$C,MATCH(F8,Реестр!$A:$A,0)),"⚠ нет в реестре")))))</f>
        <v>Шаг 1. Услуги (мультивыбор, корзина визита)</v>
      </c>
      <c r="H8" s="5" t="s">
        <v>295</v>
      </c>
      <c r="I8" s="5"/>
      <c r="J8" s="10" t="s">
        <v>297</v>
      </c>
    </row>
    <row r="9" customFormat="false" ht="15" hidden="false" customHeight="false" outlineLevel="0" collapsed="false">
      <c r="A9" s="5" t="s">
        <v>312</v>
      </c>
      <c r="B9" s="5" t="s">
        <v>59</v>
      </c>
      <c r="C9" s="5" t="s">
        <v>291</v>
      </c>
      <c r="D9" s="5" t="s">
        <v>313</v>
      </c>
      <c r="E9" s="5" t="s">
        <v>311</v>
      </c>
      <c r="F9" s="5" t="s">
        <v>64</v>
      </c>
      <c r="G9" s="11" t="str">
        <f aca="false">IF(F9="","⚠ не определено",IF(F9="ANCHOR","Прокрутка к секции",IF(F9="EXT","Внешняя ссылка",IF(F9="PARENT","Вернуться туда, откуда открыто",IFERROR(INDEX(Реестр!$C:$C,MATCH(F9,Реестр!$A:$A,0)),"⚠ нет в реестре")))))</f>
        <v>Вход клиента (номер телефона)</v>
      </c>
      <c r="H9" s="5" t="s">
        <v>295</v>
      </c>
      <c r="I9" s="5" t="s">
        <v>314</v>
      </c>
      <c r="J9" s="10" t="s">
        <v>297</v>
      </c>
    </row>
    <row r="10" customFormat="false" ht="15" hidden="false" customHeight="false" outlineLevel="0" collapsed="false">
      <c r="A10" s="5" t="s">
        <v>315</v>
      </c>
      <c r="B10" s="5" t="s">
        <v>59</v>
      </c>
      <c r="C10" s="5" t="s">
        <v>316</v>
      </c>
      <c r="D10" s="5" t="s">
        <v>106</v>
      </c>
      <c r="E10" s="5" t="s">
        <v>311</v>
      </c>
      <c r="F10" s="5" t="s">
        <v>105</v>
      </c>
      <c r="G10" s="11" t="str">
        <f aca="false">IF(F10="","⚠ не определено",IF(F10="ANCHOR","Прокрутка к секции",IF(F10="EXT","Внешняя ссылка",IF(F10="PARENT","Вернуться туда, откуда открыто",IFERROR(INDEX(Реестр!$C:$C,MATCH(F10,Реестр!$A:$A,0)),"⚠ нет в реестре")))))</f>
        <v>Мои записи</v>
      </c>
      <c r="H10" s="5" t="s">
        <v>295</v>
      </c>
      <c r="I10" s="5" t="s">
        <v>317</v>
      </c>
      <c r="J10" s="10" t="s">
        <v>297</v>
      </c>
    </row>
    <row r="11" customFormat="false" ht="15" hidden="false" customHeight="false" outlineLevel="0" collapsed="false">
      <c r="A11" s="5" t="s">
        <v>318</v>
      </c>
      <c r="B11" s="5" t="s">
        <v>59</v>
      </c>
      <c r="C11" s="5" t="s">
        <v>316</v>
      </c>
      <c r="D11" s="5" t="s">
        <v>121</v>
      </c>
      <c r="E11" s="5" t="s">
        <v>311</v>
      </c>
      <c r="F11" s="5" t="s">
        <v>120</v>
      </c>
      <c r="G11" s="11" t="str">
        <f aca="false">IF(F11="","⚠ не определено",IF(F11="ANCHOR","Прокрутка к секции",IF(F11="EXT","Внешняя ссылка",IF(F11="PARENT","Вернуться туда, откуда открыто",IFERROR(INDEX(Реестр!$C:$C,MATCH(F11,Реестр!$A:$A,0)),"⚠ нет в реестре")))))</f>
        <v>Профиль</v>
      </c>
      <c r="H11" s="5" t="s">
        <v>295</v>
      </c>
      <c r="I11" s="5"/>
      <c r="J11" s="10" t="s">
        <v>297</v>
      </c>
    </row>
    <row r="12" customFormat="false" ht="35.05" hidden="false" customHeight="false" outlineLevel="0" collapsed="false">
      <c r="A12" s="5" t="s">
        <v>319</v>
      </c>
      <c r="B12" s="5" t="s">
        <v>59</v>
      </c>
      <c r="C12" s="5" t="s">
        <v>316</v>
      </c>
      <c r="D12" s="5" t="s">
        <v>320</v>
      </c>
      <c r="E12" s="5" t="s">
        <v>311</v>
      </c>
      <c r="F12" s="5" t="s">
        <v>55</v>
      </c>
      <c r="G12" s="11" t="str">
        <f aca="false">IF(F12="","⚠ не определено",IF(F12="ANCHOR","Прокрутка к секции",IF(F12="EXT","Внешняя ссылка",IF(F12="PARENT","Вернуться туда, откуда открыто",IFERROR(INDEX(Реестр!$C:$C,MATCH(F12,Реестр!$A:$A,0)),"⚠ нет в реестре")))))</f>
        <v>Лендинг (секции: Услуги, Как это работает, Мастера, Работы, Контакты, Отзывы, Призыв записаться)</v>
      </c>
      <c r="H12" s="5" t="s">
        <v>295</v>
      </c>
      <c r="I12" s="5"/>
      <c r="J12" s="10" t="s">
        <v>297</v>
      </c>
    </row>
    <row r="13" customFormat="false" ht="15" hidden="false" customHeight="false" outlineLevel="0" collapsed="false">
      <c r="A13" s="5" t="s">
        <v>321</v>
      </c>
      <c r="B13" s="5" t="s">
        <v>59</v>
      </c>
      <c r="C13" s="5" t="s">
        <v>322</v>
      </c>
      <c r="D13" s="5" t="s">
        <v>323</v>
      </c>
      <c r="E13" s="5" t="s">
        <v>293</v>
      </c>
      <c r="F13" s="5" t="s">
        <v>294</v>
      </c>
      <c r="G13" s="11" t="str">
        <f aca="false">IF(F13="","⚠ не определено",IF(F13="ANCHOR","Прокрутка к секции",IF(F13="EXT","Внешняя ссылка",IF(F13="PARENT","Вернуться туда, откуда открыто",IFERROR(INDEX(Реестр!$C:$C,MATCH(F13,Реестр!$A:$A,0)),"⚠ нет в реестре")))))</f>
        <v>Прокрутка к секции</v>
      </c>
      <c r="H13" s="5" t="s">
        <v>295</v>
      </c>
      <c r="I13" s="5"/>
      <c r="J13" s="10" t="s">
        <v>297</v>
      </c>
    </row>
    <row r="14" customFormat="false" ht="15" hidden="false" customHeight="false" outlineLevel="0" collapsed="false">
      <c r="A14" s="5" t="s">
        <v>324</v>
      </c>
      <c r="B14" s="5" t="s">
        <v>59</v>
      </c>
      <c r="C14" s="5" t="s">
        <v>322</v>
      </c>
      <c r="D14" s="5" t="s">
        <v>325</v>
      </c>
      <c r="E14" s="5" t="s">
        <v>326</v>
      </c>
      <c r="F14" s="5" t="s">
        <v>327</v>
      </c>
      <c r="G14" s="11" t="str">
        <f aca="false">IF(F14="","⚠ не определено",IF(F14="ANCHOR","Прокрутка к секции",IF(F14="EXT","Внешняя ссылка",IF(F14="PARENT","Вернуться туда, откуда открыто",IFERROR(INDEX(Реестр!$C:$C,MATCH(F14,Реестр!$A:$A,0)),"⚠ нет в реестре")))))</f>
        <v>Внешняя ссылка</v>
      </c>
      <c r="H14" s="5" t="s">
        <v>295</v>
      </c>
      <c r="I14" s="5"/>
      <c r="J14" s="10" t="s">
        <v>297</v>
      </c>
    </row>
    <row r="15" customFormat="false" ht="23.85" hidden="false" customHeight="false" outlineLevel="0" collapsed="false">
      <c r="A15" s="5" t="s">
        <v>328</v>
      </c>
      <c r="B15" s="5" t="s">
        <v>59</v>
      </c>
      <c r="C15" s="5" t="s">
        <v>322</v>
      </c>
      <c r="D15" s="5" t="s">
        <v>329</v>
      </c>
      <c r="E15" s="5" t="s">
        <v>311</v>
      </c>
      <c r="F15" s="5" t="s">
        <v>71</v>
      </c>
      <c r="G15" s="11" t="str">
        <f aca="false">IF(F15="","⚠ не определено",IF(F15="ANCHOR","Прокрутка к секции",IF(F15="EXT","Внешняя ссылка",IF(F15="PARENT","Вернуться туда, откуда открыто",IFERROR(INDEX(Реестр!$C:$C,MATCH(F15,Реестр!$A:$A,0)),"⚠ нет в реестре")))))</f>
        <v>Вход сотрудника</v>
      </c>
      <c r="H15" s="5" t="s">
        <v>55</v>
      </c>
      <c r="I15" s="5" t="s">
        <v>330</v>
      </c>
      <c r="J15" s="10" t="s">
        <v>297</v>
      </c>
    </row>
    <row r="16" customFormat="false" ht="23.85" hidden="false" customHeight="false" outlineLevel="0" collapsed="false">
      <c r="A16" s="5" t="s">
        <v>331</v>
      </c>
      <c r="B16" s="5" t="s">
        <v>84</v>
      </c>
      <c r="C16" s="5" t="s">
        <v>332</v>
      </c>
      <c r="D16" s="5" t="s">
        <v>299</v>
      </c>
      <c r="E16" s="5" t="s">
        <v>311</v>
      </c>
      <c r="F16" s="5" t="s">
        <v>82</v>
      </c>
      <c r="G16" s="11" t="str">
        <f aca="false">IF(F16="","⚠ не определено",IF(F16="ANCHOR","Прокрутка к секции",IF(F16="EXT","Внешняя ссылка",IF(F16="PARENT","Вернуться туда, откуда открыто",IFERROR(INDEX(Реестр!$C:$C,MATCH(F16,Реестр!$A:$A,0)),"⚠ нет в реестре")))))</f>
        <v>Шаг 1. Услуги (мультивыбор, корзина визита)</v>
      </c>
      <c r="H16" s="5" t="s">
        <v>333</v>
      </c>
      <c r="I16" s="5" t="s">
        <v>334</v>
      </c>
      <c r="J16" s="10" t="s">
        <v>297</v>
      </c>
    </row>
    <row r="17" customFormat="false" ht="23.85" hidden="false" customHeight="false" outlineLevel="0" collapsed="false">
      <c r="A17" s="5" t="s">
        <v>335</v>
      </c>
      <c r="B17" s="5" t="s">
        <v>84</v>
      </c>
      <c r="C17" s="5" t="s">
        <v>332</v>
      </c>
      <c r="D17" s="5" t="s">
        <v>129</v>
      </c>
      <c r="E17" s="5" t="s">
        <v>311</v>
      </c>
      <c r="F17" s="5" t="s">
        <v>86</v>
      </c>
      <c r="G17" s="11" t="str">
        <f aca="false">IF(F17="","⚠ не определено",IF(F17="ANCHOR","Прокрутка к секции",IF(F17="EXT","Внешняя ссылка",IF(F17="PARENT","Вернуться туда, откуда открыто",IFERROR(INDEX(Реестр!$C:$C,MATCH(F17,Реестр!$A:$A,0)),"⚠ нет в реестре")))))</f>
        <v>Шаг 2. Мастер</v>
      </c>
      <c r="H17" s="5" t="s">
        <v>333</v>
      </c>
      <c r="I17" s="5"/>
      <c r="J17" s="10" t="s">
        <v>297</v>
      </c>
    </row>
    <row r="18" customFormat="false" ht="23.85" hidden="false" customHeight="false" outlineLevel="0" collapsed="false">
      <c r="A18" s="5" t="s">
        <v>336</v>
      </c>
      <c r="B18" s="5" t="s">
        <v>84</v>
      </c>
      <c r="C18" s="5" t="s">
        <v>332</v>
      </c>
      <c r="D18" s="5" t="s">
        <v>337</v>
      </c>
      <c r="E18" s="5" t="s">
        <v>311</v>
      </c>
      <c r="F18" s="5" t="s">
        <v>88</v>
      </c>
      <c r="G18" s="11" t="str">
        <f aca="false">IF(F18="","⚠ не определено",IF(F18="ANCHOR","Прокрутка к секции",IF(F18="EXT","Внешняя ссылка",IF(F18="PARENT","Вернуться туда, откуда открыто",IFERROR(INDEX(Реестр!$C:$C,MATCH(F18,Реестр!$A:$A,0)),"⚠ нет в реестре")))))</f>
        <v>Шаг 3. Время</v>
      </c>
      <c r="H18" s="5" t="s">
        <v>333</v>
      </c>
      <c r="I18" s="5"/>
      <c r="J18" s="10" t="s">
        <v>297</v>
      </c>
    </row>
    <row r="19" customFormat="false" ht="23.85" hidden="false" customHeight="false" outlineLevel="0" collapsed="false">
      <c r="A19" s="5" t="s">
        <v>338</v>
      </c>
      <c r="B19" s="5" t="s">
        <v>84</v>
      </c>
      <c r="C19" s="5" t="s">
        <v>332</v>
      </c>
      <c r="D19" s="5" t="s">
        <v>339</v>
      </c>
      <c r="E19" s="5" t="s">
        <v>311</v>
      </c>
      <c r="F19" s="5" t="s">
        <v>91</v>
      </c>
      <c r="G19" s="11" t="str">
        <f aca="false">IF(F19="","⚠ не определено",IF(F19="ANCHOR","Прокрутка к секции",IF(F19="EXT","Внешняя ссылка",IF(F19="PARENT","Вернуться туда, откуда открыто",IFERROR(INDEX(Реестр!$C:$C,MATCH(F19,Реестр!$A:$A,0)),"⚠ нет в реестре")))))</f>
        <v>Шаг 4. Подтверждение</v>
      </c>
      <c r="H19" s="5" t="s">
        <v>333</v>
      </c>
      <c r="I19" s="5"/>
      <c r="J19" s="10" t="s">
        <v>297</v>
      </c>
    </row>
    <row r="20" customFormat="false" ht="35.05" hidden="false" customHeight="false" outlineLevel="0" collapsed="false">
      <c r="A20" s="5" t="s">
        <v>340</v>
      </c>
      <c r="B20" s="5" t="s">
        <v>84</v>
      </c>
      <c r="C20" s="5" t="s">
        <v>341</v>
      </c>
      <c r="D20" s="5" t="s">
        <v>342</v>
      </c>
      <c r="E20" s="5" t="s">
        <v>311</v>
      </c>
      <c r="F20" s="5" t="s">
        <v>55</v>
      </c>
      <c r="G20" s="11" t="str">
        <f aca="false">IF(F20="","⚠ не определено",IF(F20="ANCHOR","Прокрутка к секции",IF(F20="EXT","Внешняя ссылка",IF(F20="PARENT","Вернуться туда, откуда открыто",IFERROR(INDEX(Реестр!$C:$C,MATCH(F20,Реестр!$A:$A,0)),"⚠ нет в реестре")))))</f>
        <v>Лендинг (секции: Услуги, Как это работает, Мастера, Работы, Контакты, Отзывы, Призыв записаться)</v>
      </c>
      <c r="H20" s="5" t="s">
        <v>333</v>
      </c>
      <c r="I20" s="5"/>
      <c r="J20" s="10" t="s">
        <v>297</v>
      </c>
    </row>
    <row r="21" customFormat="false" ht="23.85" hidden="false" customHeight="false" outlineLevel="0" collapsed="false">
      <c r="A21" s="5" t="s">
        <v>343</v>
      </c>
      <c r="B21" s="5" t="s">
        <v>107</v>
      </c>
      <c r="C21" s="5" t="s">
        <v>344</v>
      </c>
      <c r="D21" s="5" t="s">
        <v>106</v>
      </c>
      <c r="E21" s="5" t="s">
        <v>311</v>
      </c>
      <c r="F21" s="5" t="s">
        <v>105</v>
      </c>
      <c r="G21" s="11" t="str">
        <f aca="false">IF(F21="","⚠ не определено",IF(F21="ANCHOR","Прокрутка к секции",IF(F21="EXT","Внешняя ссылка",IF(F21="PARENT","Вернуться туда, откуда открыто",IFERROR(INDEX(Реестр!$C:$C,MATCH(F21,Реестр!$A:$A,0)),"⚠ нет в реестре")))))</f>
        <v>Мои записи</v>
      </c>
      <c r="H21" s="5" t="s">
        <v>345</v>
      </c>
      <c r="I21" s="5" t="s">
        <v>346</v>
      </c>
      <c r="J21" s="10" t="s">
        <v>297</v>
      </c>
    </row>
    <row r="22" customFormat="false" ht="15" hidden="false" customHeight="false" outlineLevel="0" collapsed="false">
      <c r="A22" s="5" t="s">
        <v>347</v>
      </c>
      <c r="B22" s="5" t="s">
        <v>107</v>
      </c>
      <c r="C22" s="5" t="s">
        <v>344</v>
      </c>
      <c r="D22" s="5" t="s">
        <v>109</v>
      </c>
      <c r="E22" s="5" t="s">
        <v>311</v>
      </c>
      <c r="F22" s="5" t="s">
        <v>108</v>
      </c>
      <c r="G22" s="11" t="str">
        <f aca="false">IF(F22="","⚠ не определено",IF(F22="ANCHOR","Прокрутка к секции",IF(F22="EXT","Внешняя ссылка",IF(F22="PARENT","Вернуться туда, откуда открыто",IFERROR(INDEX(Реестр!$C:$C,MATCH(F22,Реестр!$A:$A,0)),"⚠ нет в реестре")))))</f>
        <v>История</v>
      </c>
      <c r="H22" s="5" t="s">
        <v>345</v>
      </c>
      <c r="I22" s="5"/>
      <c r="J22" s="10" t="s">
        <v>297</v>
      </c>
    </row>
    <row r="23" customFormat="false" ht="15" hidden="false" customHeight="false" outlineLevel="0" collapsed="false">
      <c r="A23" s="5" t="s">
        <v>348</v>
      </c>
      <c r="B23" s="5" t="s">
        <v>107</v>
      </c>
      <c r="C23" s="5" t="s">
        <v>344</v>
      </c>
      <c r="D23" s="5" t="s">
        <v>126</v>
      </c>
      <c r="E23" s="5" t="s">
        <v>311</v>
      </c>
      <c r="F23" s="5" t="s">
        <v>125</v>
      </c>
      <c r="G23" s="11" t="str">
        <f aca="false">IF(F23="","⚠ не определено",IF(F23="ANCHOR","Прокрутка к секции",IF(F23="EXT","Внешняя ссылка",IF(F23="PARENT","Вернуться туда, откуда открыто",IFERROR(INDEX(Реестр!$C:$C,MATCH(F23,Реестр!$A:$A,0)),"⚠ нет в реестре")))))</f>
        <v>Избранные мастера</v>
      </c>
      <c r="H23" s="5" t="s">
        <v>345</v>
      </c>
      <c r="I23" s="5"/>
      <c r="J23" s="10" t="s">
        <v>297</v>
      </c>
    </row>
    <row r="24" customFormat="false" ht="15" hidden="false" customHeight="false" outlineLevel="0" collapsed="false">
      <c r="A24" s="5" t="s">
        <v>349</v>
      </c>
      <c r="B24" s="5" t="s">
        <v>107</v>
      </c>
      <c r="C24" s="5" t="s">
        <v>344</v>
      </c>
      <c r="D24" s="5" t="s">
        <v>121</v>
      </c>
      <c r="E24" s="5" t="s">
        <v>311</v>
      </c>
      <c r="F24" s="5" t="s">
        <v>120</v>
      </c>
      <c r="G24" s="11" t="str">
        <f aca="false">IF(F24="","⚠ не определено",IF(F24="ANCHOR","Прокрутка к секции",IF(F24="EXT","Внешняя ссылка",IF(F24="PARENT","Вернуться туда, откуда открыто",IFERROR(INDEX(Реестр!$C:$C,MATCH(F24,Реестр!$A:$A,0)),"⚠ нет в реестре")))))</f>
        <v>Профиль</v>
      </c>
      <c r="H24" s="5" t="s">
        <v>345</v>
      </c>
      <c r="I24" s="5"/>
      <c r="J24" s="10" t="s">
        <v>297</v>
      </c>
    </row>
    <row r="25" customFormat="false" ht="15" hidden="false" customHeight="false" outlineLevel="0" collapsed="false">
      <c r="A25" s="5" t="s">
        <v>350</v>
      </c>
      <c r="B25" s="5" t="s">
        <v>107</v>
      </c>
      <c r="C25" s="5" t="s">
        <v>344</v>
      </c>
      <c r="D25" s="5" t="s">
        <v>123</v>
      </c>
      <c r="E25" s="5" t="s">
        <v>311</v>
      </c>
      <c r="F25" s="5" t="s">
        <v>122</v>
      </c>
      <c r="G25" s="11" t="str">
        <f aca="false">IF(F25="","⚠ не определено",IF(F25="ANCHOR","Прокрутка к секции",IF(F25="EXT","Внешняя ссылка",IF(F25="PARENT","Вернуться туда, откуда открыто",IFERROR(INDEX(Реестр!$C:$C,MATCH(F25,Реестр!$A:$A,0)),"⚠ нет в реестре")))))</f>
        <v>Уведомления</v>
      </c>
      <c r="H25" s="5" t="s">
        <v>345</v>
      </c>
      <c r="I25" s="5"/>
      <c r="J25" s="10" t="s">
        <v>297</v>
      </c>
    </row>
    <row r="26" customFormat="false" ht="35.05" hidden="false" customHeight="false" outlineLevel="0" collapsed="false">
      <c r="A26" s="5" t="s">
        <v>351</v>
      </c>
      <c r="B26" s="5" t="s">
        <v>107</v>
      </c>
      <c r="C26" s="5" t="s">
        <v>352</v>
      </c>
      <c r="D26" s="5" t="s">
        <v>353</v>
      </c>
      <c r="E26" s="5" t="s">
        <v>311</v>
      </c>
      <c r="F26" s="5" t="s">
        <v>55</v>
      </c>
      <c r="G26" s="11" t="str">
        <f aca="false">IF(F26="","⚠ не определено",IF(F26="ANCHOR","Прокрутка к секции",IF(F26="EXT","Внешняя ссылка",IF(F26="PARENT","Вернуться туда, откуда открыто",IFERROR(INDEX(Реестр!$C:$C,MATCH(F26,Реестр!$A:$A,0)),"⚠ нет в реестре")))))</f>
        <v>Лендинг (секции: Услуги, Как это работает, Мастера, Работы, Контакты, Отзывы, Призыв записаться)</v>
      </c>
      <c r="H26" s="5" t="s">
        <v>345</v>
      </c>
      <c r="I26" s="5"/>
      <c r="J26" s="10" t="s">
        <v>297</v>
      </c>
    </row>
    <row r="27" customFormat="false" ht="23.85" hidden="false" customHeight="false" outlineLevel="0" collapsed="false">
      <c r="A27" s="5" t="s">
        <v>354</v>
      </c>
      <c r="B27" s="5" t="s">
        <v>107</v>
      </c>
      <c r="C27" s="5" t="s">
        <v>352</v>
      </c>
      <c r="D27" s="5" t="s">
        <v>310</v>
      </c>
      <c r="E27" s="5" t="s">
        <v>311</v>
      </c>
      <c r="F27" s="5" t="s">
        <v>82</v>
      </c>
      <c r="G27" s="11" t="str">
        <f aca="false">IF(F27="","⚠ не определено",IF(F27="ANCHOR","Прокрутка к секции",IF(F27="EXT","Внешняя ссылка",IF(F27="PARENT","Вернуться туда, откуда открыто",IFERROR(INDEX(Реестр!$C:$C,MATCH(F27,Реестр!$A:$A,0)),"⚠ нет в реестре")))))</f>
        <v>Шаг 1. Услуги (мультивыбор, корзина визита)</v>
      </c>
      <c r="H27" s="5" t="s">
        <v>345</v>
      </c>
      <c r="I27" s="5" t="s">
        <v>355</v>
      </c>
      <c r="J27" s="10" t="s">
        <v>297</v>
      </c>
    </row>
    <row r="28" customFormat="false" ht="35.05" hidden="false" customHeight="false" outlineLevel="0" collapsed="false">
      <c r="A28" s="5" t="s">
        <v>356</v>
      </c>
      <c r="B28" s="5" t="s">
        <v>107</v>
      </c>
      <c r="C28" s="5" t="s">
        <v>352</v>
      </c>
      <c r="D28" s="5" t="s">
        <v>320</v>
      </c>
      <c r="E28" s="5" t="s">
        <v>311</v>
      </c>
      <c r="F28" s="5" t="s">
        <v>55</v>
      </c>
      <c r="G28" s="11" t="str">
        <f aca="false">IF(F28="","⚠ не определено",IF(F28="ANCHOR","Прокрутка к секции",IF(F28="EXT","Внешняя ссылка",IF(F28="PARENT","Вернуться туда, откуда открыто",IFERROR(INDEX(Реестр!$C:$C,MATCH(F28,Реестр!$A:$A,0)),"⚠ нет в реестре")))))</f>
        <v>Лендинг (секции: Услуги, Как это работает, Мастера, Работы, Контакты, Отзывы, Призыв записаться)</v>
      </c>
      <c r="H28" s="5" t="s">
        <v>345</v>
      </c>
      <c r="I28" s="5"/>
      <c r="J28" s="10" t="s">
        <v>297</v>
      </c>
    </row>
    <row r="29" customFormat="false" ht="15" hidden="false" customHeight="false" outlineLevel="0" collapsed="false">
      <c r="A29" s="5" t="s">
        <v>357</v>
      </c>
      <c r="B29" s="5" t="s">
        <v>130</v>
      </c>
      <c r="C29" s="5" t="s">
        <v>358</v>
      </c>
      <c r="D29" s="5" t="s">
        <v>128</v>
      </c>
      <c r="E29" s="5" t="s">
        <v>311</v>
      </c>
      <c r="F29" s="5" t="s">
        <v>127</v>
      </c>
      <c r="G29" s="11" t="str">
        <f aca="false">IF(F29="","⚠ не определено",IF(F29="ANCHOR","Прокрутка к секции",IF(F29="EXT","Внешняя ссылка",IF(F29="PARENT","Вернуться туда, откуда открыто",IFERROR(INDEX(Реестр!$C:$C,MATCH(F29,Реестр!$A:$A,0)),"⚠ нет в реестре")))))</f>
        <v>Сегодня</v>
      </c>
      <c r="H29" s="5" t="s">
        <v>359</v>
      </c>
      <c r="I29" s="5"/>
      <c r="J29" s="10" t="s">
        <v>297</v>
      </c>
    </row>
    <row r="30" customFormat="false" ht="15" hidden="false" customHeight="false" outlineLevel="0" collapsed="false">
      <c r="A30" s="5" t="s">
        <v>360</v>
      </c>
      <c r="B30" s="5" t="s">
        <v>130</v>
      </c>
      <c r="C30" s="5" t="s">
        <v>358</v>
      </c>
      <c r="D30" s="5" t="s">
        <v>145</v>
      </c>
      <c r="E30" s="5" t="s">
        <v>311</v>
      </c>
      <c r="F30" s="5" t="s">
        <v>144</v>
      </c>
      <c r="G30" s="11" t="str">
        <f aca="false">IF(F30="","⚠ не определено",IF(F30="ANCHOR","Прокрутка к секции",IF(F30="EXT","Внешняя ссылка",IF(F30="PARENT","Вернуться туда, откуда открыто",IFERROR(INDEX(Реестр!$C:$C,MATCH(F30,Реестр!$A:$A,0)),"⚠ нет в реестре")))))</f>
        <v>Календарь</v>
      </c>
      <c r="H30" s="5" t="s">
        <v>359</v>
      </c>
      <c r="I30" s="5"/>
      <c r="J30" s="10" t="s">
        <v>297</v>
      </c>
    </row>
    <row r="31" customFormat="false" ht="15" hidden="false" customHeight="false" outlineLevel="0" collapsed="false">
      <c r="A31" s="5" t="s">
        <v>361</v>
      </c>
      <c r="B31" s="5" t="s">
        <v>130</v>
      </c>
      <c r="C31" s="5" t="s">
        <v>358</v>
      </c>
      <c r="D31" s="5" t="s">
        <v>362</v>
      </c>
      <c r="E31" s="5" t="s">
        <v>311</v>
      </c>
      <c r="F31" s="5" t="s">
        <v>150</v>
      </c>
      <c r="G31" s="11" t="str">
        <f aca="false">IF(F31="","⚠ не определено",IF(F31="ANCHOR","Прокрутка к секции",IF(F31="EXT","Внешняя ссылка",IF(F31="PARENT","Вернуться туда, откуда открыто",IFERROR(INDEX(Реестр!$C:$C,MATCH(F31,Реестр!$A:$A,0)),"⚠ нет в реестре")))))</f>
        <v>Клиенты (список)</v>
      </c>
      <c r="H31" s="5" t="s">
        <v>359</v>
      </c>
      <c r="I31" s="5"/>
      <c r="J31" s="10" t="s">
        <v>297</v>
      </c>
    </row>
    <row r="32" customFormat="false" ht="15" hidden="false" customHeight="false" outlineLevel="0" collapsed="false">
      <c r="A32" s="5" t="s">
        <v>363</v>
      </c>
      <c r="B32" s="5" t="s">
        <v>130</v>
      </c>
      <c r="C32" s="5" t="s">
        <v>358</v>
      </c>
      <c r="D32" s="5" t="s">
        <v>155</v>
      </c>
      <c r="E32" s="5" t="s">
        <v>311</v>
      </c>
      <c r="F32" s="5" t="s">
        <v>154</v>
      </c>
      <c r="G32" s="11" t="str">
        <f aca="false">IF(F32="","⚠ не определено",IF(F32="ANCHOR","Прокрутка к секции",IF(F32="EXT","Внешняя ссылка",IF(F32="PARENT","Вернуться туда, откуда открыто",IFERROR(INDEX(Реестр!$C:$C,MATCH(F32,Реестр!$A:$A,0)),"⚠ нет в реестре")))))</f>
        <v>Доходы</v>
      </c>
      <c r="H32" s="5" t="s">
        <v>359</v>
      </c>
      <c r="I32" s="5"/>
      <c r="J32" s="10" t="s">
        <v>297</v>
      </c>
    </row>
    <row r="33" customFormat="false" ht="15" hidden="false" customHeight="false" outlineLevel="0" collapsed="false">
      <c r="A33" s="5" t="s">
        <v>364</v>
      </c>
      <c r="B33" s="5" t="s">
        <v>130</v>
      </c>
      <c r="C33" s="5" t="s">
        <v>358</v>
      </c>
      <c r="D33" s="5" t="s">
        <v>121</v>
      </c>
      <c r="E33" s="5" t="s">
        <v>311</v>
      </c>
      <c r="F33" s="5" t="s">
        <v>156</v>
      </c>
      <c r="G33" s="11" t="str">
        <f aca="false">IF(F33="","⚠ не определено",IF(F33="ANCHOR","Прокрутка к секции",IF(F33="EXT","Внешняя ссылка",IF(F33="PARENT","Вернуться туда, откуда открыто",IFERROR(INDEX(Реестр!$C:$C,MATCH(F33,Реестр!$A:$A,0)),"⚠ нет в реестре")))))</f>
        <v>Профиль (просмотр)</v>
      </c>
      <c r="H33" s="5" t="s">
        <v>359</v>
      </c>
      <c r="I33" s="5"/>
      <c r="J33" s="10" t="s">
        <v>297</v>
      </c>
    </row>
    <row r="34" customFormat="false" ht="15" hidden="false" customHeight="false" outlineLevel="0" collapsed="false">
      <c r="A34" s="5" t="s">
        <v>365</v>
      </c>
      <c r="B34" s="5" t="s">
        <v>130</v>
      </c>
      <c r="C34" s="5" t="s">
        <v>366</v>
      </c>
      <c r="D34" s="5" t="s">
        <v>367</v>
      </c>
      <c r="E34" s="5" t="s">
        <v>368</v>
      </c>
      <c r="F34" s="5"/>
      <c r="G34" s="11" t="str">
        <f aca="false">IF(F34="","⚠ не определено",IF(F34="ANCHOR","Прокрутка к секции",IF(F34="EXT","Внешняя ссылка",IF(F34="PARENT","Вернуться туда, откуда открыто",IFERROR(INDEX(Реестр!$C:$C,MATCH(F34,Реестр!$A:$A,0)),"⚠ нет в реестре")))))</f>
        <v>⚠ не определено</v>
      </c>
      <c r="H34" s="5" t="s">
        <v>369</v>
      </c>
      <c r="I34" s="5" t="s">
        <v>370</v>
      </c>
      <c r="J34" s="10" t="s">
        <v>297</v>
      </c>
    </row>
    <row r="35" customFormat="false" ht="15" hidden="false" customHeight="false" outlineLevel="0" collapsed="false">
      <c r="A35" s="5" t="s">
        <v>371</v>
      </c>
      <c r="B35" s="5" t="s">
        <v>130</v>
      </c>
      <c r="C35" s="5" t="s">
        <v>372</v>
      </c>
      <c r="D35" s="5" t="s">
        <v>129</v>
      </c>
      <c r="E35" s="5" t="s">
        <v>311</v>
      </c>
      <c r="F35" s="5" t="s">
        <v>127</v>
      </c>
      <c r="G35" s="11" t="str">
        <f aca="false">IF(F35="","⚠ не определено",IF(F35="ANCHOR","Прокрутка к секции",IF(F35="EXT","Внешняя ссылка",IF(F35="PARENT","Вернуться туда, откуда открыто",IFERROR(INDEX(Реестр!$C:$C,MATCH(F35,Реестр!$A:$A,0)),"⚠ нет в реестре")))))</f>
        <v>Сегодня</v>
      </c>
      <c r="H35" s="5" t="s">
        <v>369</v>
      </c>
      <c r="I35" s="5" t="s">
        <v>373</v>
      </c>
      <c r="J35" s="10" t="s">
        <v>297</v>
      </c>
    </row>
    <row r="36" customFormat="false" ht="15" hidden="false" customHeight="false" outlineLevel="0" collapsed="false">
      <c r="A36" s="5" t="s">
        <v>374</v>
      </c>
      <c r="B36" s="5" t="s">
        <v>130</v>
      </c>
      <c r="C36" s="5" t="s">
        <v>372</v>
      </c>
      <c r="D36" s="5" t="s">
        <v>181</v>
      </c>
      <c r="E36" s="5" t="s">
        <v>311</v>
      </c>
      <c r="F36" s="5" t="s">
        <v>179</v>
      </c>
      <c r="G36" s="11" t="str">
        <f aca="false">IF(F36="","⚠ не определено",IF(F36="ANCHOR","Прокрутка к секции",IF(F36="EXT","Внешняя ссылка",IF(F36="PARENT","Вернуться туда, откуда открыто",IFERROR(INDEX(Реестр!$C:$C,MATCH(F36,Реестр!$A:$A,0)),"⚠ нет в реестре")))))</f>
        <v>Шахматка (день)</v>
      </c>
      <c r="H36" s="5" t="s">
        <v>369</v>
      </c>
      <c r="I36" s="5"/>
      <c r="J36" s="10" t="s">
        <v>297</v>
      </c>
    </row>
    <row r="37" customFormat="false" ht="15" hidden="false" customHeight="false" outlineLevel="0" collapsed="false">
      <c r="A37" s="5" t="s">
        <v>375</v>
      </c>
      <c r="B37" s="5" t="s">
        <v>130</v>
      </c>
      <c r="C37" s="5" t="s">
        <v>372</v>
      </c>
      <c r="D37" s="5" t="s">
        <v>376</v>
      </c>
      <c r="E37" s="5" t="s">
        <v>311</v>
      </c>
      <c r="F37" s="5" t="s">
        <v>71</v>
      </c>
      <c r="G37" s="11" t="str">
        <f aca="false">IF(F37="","⚠ не определено",IF(F37="ANCHOR","Прокрутка к секции",IF(F37="EXT","Внешняя ссылка",IF(F37="PARENT","Вернуться туда, откуда открыто",IFERROR(INDEX(Реестр!$C:$C,MATCH(F37,Реестр!$A:$A,0)),"⚠ нет в реестре")))))</f>
        <v>Вход сотрудника</v>
      </c>
      <c r="H37" s="5" t="s">
        <v>369</v>
      </c>
      <c r="I37" s="5"/>
      <c r="J37" s="10" t="s">
        <v>297</v>
      </c>
    </row>
    <row r="38" customFormat="false" ht="15" hidden="false" customHeight="false" outlineLevel="0" collapsed="false">
      <c r="A38" s="5" t="s">
        <v>377</v>
      </c>
      <c r="B38" s="5" t="s">
        <v>182</v>
      </c>
      <c r="C38" s="5" t="s">
        <v>378</v>
      </c>
      <c r="D38" s="5" t="s">
        <v>379</v>
      </c>
      <c r="E38" s="5" t="s">
        <v>311</v>
      </c>
      <c r="F38" s="5" t="s">
        <v>179</v>
      </c>
      <c r="G38" s="11" t="str">
        <f aca="false">IF(F38="","⚠ не определено",IF(F38="ANCHOR","Прокрутка к секции",IF(F38="EXT","Внешняя ссылка",IF(F38="PARENT","Вернуться туда, откуда открыто",IFERROR(INDEX(Реестр!$C:$C,MATCH(F38,Реестр!$A:$A,0)),"⚠ нет в реестре")))))</f>
        <v>Шахматка (день)</v>
      </c>
      <c r="H38" s="5" t="s">
        <v>380</v>
      </c>
      <c r="I38" s="5"/>
      <c r="J38" s="10" t="s">
        <v>297</v>
      </c>
    </row>
    <row r="39" customFormat="false" ht="15" hidden="false" customHeight="false" outlineLevel="0" collapsed="false">
      <c r="A39" s="5" t="s">
        <v>381</v>
      </c>
      <c r="B39" s="5" t="s">
        <v>182</v>
      </c>
      <c r="C39" s="5" t="s">
        <v>378</v>
      </c>
      <c r="D39" s="5" t="s">
        <v>362</v>
      </c>
      <c r="E39" s="5" t="s">
        <v>311</v>
      </c>
      <c r="F39" s="5" t="s">
        <v>202</v>
      </c>
      <c r="G39" s="11" t="str">
        <f aca="false">IF(F39="","⚠ не определено",IF(F39="ANCHOR","Прокрутка к секции",IF(F39="EXT","Внешняя ссылка",IF(F39="PARENT","Вернуться туда, откуда открыто",IFERROR(INDEX(Реестр!$C:$C,MATCH(F39,Реестр!$A:$A,0)),"⚠ нет в реестре")))))</f>
        <v>Клиенты (список)</v>
      </c>
      <c r="H39" s="5" t="s">
        <v>380</v>
      </c>
      <c r="I39" s="5"/>
      <c r="J39" s="10" t="s">
        <v>297</v>
      </c>
    </row>
    <row r="40" customFormat="false" ht="15" hidden="false" customHeight="false" outlineLevel="0" collapsed="false">
      <c r="A40" s="5" t="s">
        <v>382</v>
      </c>
      <c r="B40" s="5" t="s">
        <v>182</v>
      </c>
      <c r="C40" s="5" t="s">
        <v>378</v>
      </c>
      <c r="D40" s="5" t="s">
        <v>383</v>
      </c>
      <c r="E40" s="5" t="s">
        <v>311</v>
      </c>
      <c r="F40" s="5" t="s">
        <v>212</v>
      </c>
      <c r="G40" s="11" t="str">
        <f aca="false">IF(F40="","⚠ не определено",IF(F40="ANCHOR","Прокрутка к секции",IF(F40="EXT","Внешняя ссылка",IF(F40="PARENT","Вернуться туда, откуда открыто",IFERROR(INDEX(Реестр!$C:$C,MATCH(F40,Реестр!$A:$A,0)),"⚠ нет в реестре")))))</f>
        <v>Оплаты (смена)</v>
      </c>
      <c r="H40" s="5" t="s">
        <v>380</v>
      </c>
      <c r="I40" s="5"/>
      <c r="J40" s="10" t="s">
        <v>297</v>
      </c>
    </row>
    <row r="41" customFormat="false" ht="15" hidden="false" customHeight="false" outlineLevel="0" collapsed="false">
      <c r="A41" s="5" t="s">
        <v>384</v>
      </c>
      <c r="B41" s="5" t="s">
        <v>182</v>
      </c>
      <c r="C41" s="5" t="s">
        <v>378</v>
      </c>
      <c r="D41" s="5" t="s">
        <v>221</v>
      </c>
      <c r="E41" s="5" t="s">
        <v>311</v>
      </c>
      <c r="F41" s="5" t="s">
        <v>220</v>
      </c>
      <c r="G41" s="11" t="str">
        <f aca="false">IF(F41="","⚠ не определено",IF(F41="ANCHOR","Прокрутка к секции",IF(F41="EXT","Внешняя ссылка",IF(F41="PARENT","Вернуться туда, откуда открыто",IFERROR(INDEX(Реестр!$C:$C,MATCH(F41,Реестр!$A:$A,0)),"⚠ нет в реестре")))))</f>
        <v>Лист ожидания</v>
      </c>
      <c r="H41" s="5" t="s">
        <v>380</v>
      </c>
      <c r="I41" s="5"/>
      <c r="J41" s="10" t="s">
        <v>297</v>
      </c>
    </row>
    <row r="42" customFormat="false" ht="15" hidden="false" customHeight="false" outlineLevel="0" collapsed="false">
      <c r="A42" s="5" t="s">
        <v>385</v>
      </c>
      <c r="B42" s="5" t="s">
        <v>182</v>
      </c>
      <c r="C42" s="5" t="s">
        <v>378</v>
      </c>
      <c r="D42" s="5" t="s">
        <v>304</v>
      </c>
      <c r="E42" s="5" t="s">
        <v>311</v>
      </c>
      <c r="F42" s="5" t="s">
        <v>226</v>
      </c>
      <c r="G42" s="11" t="str">
        <f aca="false">IF(F42="","⚠ не определено",IF(F42="ANCHOR","Прокрутка к секции",IF(F42="EXT","Внешняя ссылка",IF(F42="PARENT","Вернуться туда, откуда открыто",IFERROR(INDEX(Реестр!$C:$C,MATCH(F42,Реестр!$A:$A,0)),"⚠ нет в реестре")))))</f>
        <v>Мастера (список)</v>
      </c>
      <c r="H42" s="5" t="s">
        <v>380</v>
      </c>
      <c r="I42" s="5"/>
      <c r="J42" s="10" t="s">
        <v>297</v>
      </c>
    </row>
    <row r="43" customFormat="false" ht="15" hidden="false" customHeight="false" outlineLevel="0" collapsed="false">
      <c r="A43" s="5" t="s">
        <v>386</v>
      </c>
      <c r="B43" s="5" t="s">
        <v>182</v>
      </c>
      <c r="C43" s="5" t="s">
        <v>378</v>
      </c>
      <c r="D43" s="5" t="s">
        <v>299</v>
      </c>
      <c r="E43" s="5" t="s">
        <v>311</v>
      </c>
      <c r="F43" s="5" t="s">
        <v>234</v>
      </c>
      <c r="G43" s="11" t="str">
        <f aca="false">IF(F43="","⚠ не определено",IF(F43="ANCHOR","Прокрутка к секции",IF(F43="EXT","Внешняя ссылка",IF(F43="PARENT","Вернуться туда, откуда открыто",IFERROR(INDEX(Реестр!$C:$C,MATCH(F43,Реестр!$A:$A,0)),"⚠ нет в реестре")))))</f>
        <v>Услуги (список)</v>
      </c>
      <c r="H43" s="5" t="s">
        <v>380</v>
      </c>
      <c r="I43" s="5"/>
      <c r="J43" s="10" t="s">
        <v>297</v>
      </c>
    </row>
    <row r="44" customFormat="false" ht="15" hidden="false" customHeight="false" outlineLevel="0" collapsed="false">
      <c r="A44" s="5" t="s">
        <v>387</v>
      </c>
      <c r="B44" s="5" t="s">
        <v>182</v>
      </c>
      <c r="C44" s="5" t="s">
        <v>378</v>
      </c>
      <c r="D44" s="5" t="s">
        <v>388</v>
      </c>
      <c r="E44" s="5" t="s">
        <v>311</v>
      </c>
      <c r="F44" s="5" t="s">
        <v>238</v>
      </c>
      <c r="G44" s="11" t="str">
        <f aca="false">IF(F44="","⚠ не определено",IF(F44="ANCHOR","Прокрутка к секции",IF(F44="EXT","Внешняя ссылка",IF(F44="PARENT","Вернуться туда, откуда открыто",IFERROR(INDEX(Реестр!$C:$C,MATCH(F44,Реестр!$A:$A,0)),"⚠ нет в реестре")))))</f>
        <v>Сообщения: автоуведомления</v>
      </c>
      <c r="H44" s="5" t="s">
        <v>380</v>
      </c>
      <c r="I44" s="5"/>
      <c r="J44" s="10" t="s">
        <v>297</v>
      </c>
    </row>
    <row r="45" customFormat="false" ht="15" hidden="false" customHeight="false" outlineLevel="0" collapsed="false">
      <c r="A45" s="5" t="s">
        <v>389</v>
      </c>
      <c r="B45" s="5" t="s">
        <v>182</v>
      </c>
      <c r="C45" s="5" t="s">
        <v>378</v>
      </c>
      <c r="D45" s="5" t="s">
        <v>390</v>
      </c>
      <c r="E45" s="5" t="s">
        <v>311</v>
      </c>
      <c r="F45" s="5" t="s">
        <v>244</v>
      </c>
      <c r="G45" s="11" t="str">
        <f aca="false">IF(F45="","⚠ не определено",IF(F45="ANCHOR","Прокрутка к секции",IF(F45="EXT","Внешняя ссылка",IF(F45="PARENT","Вернуться туда, откуда открыто",IFERROR(INDEX(Реестр!$C:$C,MATCH(F45,Реестр!$A:$A,0)),"⚠ нет в реестре")))))</f>
        <v>Сотрудники (список)</v>
      </c>
      <c r="H45" s="5" t="s">
        <v>380</v>
      </c>
      <c r="I45" s="5"/>
      <c r="J45" s="10" t="s">
        <v>297</v>
      </c>
    </row>
    <row r="46" customFormat="false" ht="15" hidden="false" customHeight="false" outlineLevel="0" collapsed="false">
      <c r="A46" s="5" t="s">
        <v>391</v>
      </c>
      <c r="B46" s="5" t="s">
        <v>182</v>
      </c>
      <c r="C46" s="5" t="s">
        <v>378</v>
      </c>
      <c r="D46" s="5" t="s">
        <v>392</v>
      </c>
      <c r="E46" s="5" t="s">
        <v>311</v>
      </c>
      <c r="F46" s="5" t="s">
        <v>249</v>
      </c>
      <c r="G46" s="11" t="str">
        <f aca="false">IF(F46="","⚠ не определено",IF(F46="ANCHOR","Прокрутка к секции",IF(F46="EXT","Внешняя ссылка",IF(F46="PARENT","Вернуться туда, откуда открыто",IFERROR(INDEX(Реестр!$C:$C,MATCH(F46,Реестр!$A:$A,0)),"⚠ нет в реестре")))))</f>
        <v>Аналитика (дашборд)</v>
      </c>
      <c r="H46" s="5" t="s">
        <v>380</v>
      </c>
      <c r="I46" s="5"/>
      <c r="J46" s="10" t="s">
        <v>297</v>
      </c>
    </row>
    <row r="47" customFormat="false" ht="15" hidden="false" customHeight="false" outlineLevel="0" collapsed="false">
      <c r="A47" s="5" t="s">
        <v>393</v>
      </c>
      <c r="B47" s="5" t="s">
        <v>182</v>
      </c>
      <c r="C47" s="5" t="s">
        <v>378</v>
      </c>
      <c r="D47" s="5" t="s">
        <v>394</v>
      </c>
      <c r="E47" s="5" t="s">
        <v>311</v>
      </c>
      <c r="F47" s="5" t="s">
        <v>251</v>
      </c>
      <c r="G47" s="11" t="str">
        <f aca="false">IF(F47="","⚠ не определено",IF(F47="ANCHOR","Прокрутка к секции",IF(F47="EXT","Внешняя ссылка",IF(F47="PARENT","Вернуться туда, откуда открыто",IFERROR(INDEX(Реестр!$C:$C,MATCH(F47,Реестр!$A:$A,0)),"⚠ нет в реестре")))))</f>
        <v>Журнал действий</v>
      </c>
      <c r="H47" s="5" t="s">
        <v>380</v>
      </c>
      <c r="I47" s="5"/>
      <c r="J47" s="10" t="s">
        <v>297</v>
      </c>
    </row>
    <row r="48" customFormat="false" ht="15" hidden="false" customHeight="false" outlineLevel="0" collapsed="false">
      <c r="A48" s="5" t="s">
        <v>395</v>
      </c>
      <c r="B48" s="5" t="s">
        <v>182</v>
      </c>
      <c r="C48" s="5" t="s">
        <v>378</v>
      </c>
      <c r="D48" s="5" t="s">
        <v>396</v>
      </c>
      <c r="E48" s="5" t="s">
        <v>368</v>
      </c>
      <c r="F48" s="5"/>
      <c r="G48" s="11" t="str">
        <f aca="false">IF(F48="","⚠ не определено",IF(F48="ANCHOR","Прокрутка к секции",IF(F48="EXT","Внешняя ссылка",IF(F48="PARENT","Вернуться туда, откуда открыто",IFERROR(INDEX(Реестр!$C:$C,MATCH(F48,Реестр!$A:$A,0)),"⚠ нет в реестре")))))</f>
        <v>⚠ не определено</v>
      </c>
      <c r="H48" s="5" t="s">
        <v>380</v>
      </c>
      <c r="I48" s="5" t="s">
        <v>397</v>
      </c>
      <c r="J48" s="10" t="s">
        <v>297</v>
      </c>
    </row>
    <row r="49" customFormat="false" ht="15" hidden="false" customHeight="false" outlineLevel="0" collapsed="false">
      <c r="A49" s="5" t="s">
        <v>398</v>
      </c>
      <c r="B49" s="5" t="s">
        <v>182</v>
      </c>
      <c r="C49" s="5" t="s">
        <v>399</v>
      </c>
      <c r="D49" s="5" t="s">
        <v>400</v>
      </c>
      <c r="E49" s="5" t="s">
        <v>190</v>
      </c>
      <c r="F49" s="5" t="s">
        <v>188</v>
      </c>
      <c r="G49" s="11" t="str">
        <f aca="false">IF(F49="","⚠ не определено",IF(F49="ANCHOR","Прокрутка к секции",IF(F49="EXT","Внешняя ссылка",IF(F49="PARENT","Вернуться туда, откуда открыто",IFERROR(INDEX(Реестр!$C:$C,MATCH(F49,Реестр!$A:$A,0)),"⚠ нет в реестре")))))</f>
        <v>Панель создания записи</v>
      </c>
      <c r="H49" s="5" t="s">
        <v>380</v>
      </c>
      <c r="I49" s="5"/>
      <c r="J49" s="10" t="s">
        <v>297</v>
      </c>
    </row>
    <row r="50" customFormat="false" ht="15" hidden="false" customHeight="false" outlineLevel="0" collapsed="false">
      <c r="A50" s="5" t="s">
        <v>401</v>
      </c>
      <c r="B50" s="5" t="s">
        <v>182</v>
      </c>
      <c r="C50" s="5" t="s">
        <v>399</v>
      </c>
      <c r="D50" s="5" t="s">
        <v>402</v>
      </c>
      <c r="E50" s="5" t="s">
        <v>190</v>
      </c>
      <c r="F50" s="5" t="s">
        <v>203</v>
      </c>
      <c r="G50" s="11" t="str">
        <f aca="false">IF(F50="","⚠ не определено",IF(F50="ANCHOR","Прокрутка к секции",IF(F50="EXT","Внешняя ссылка",IF(F50="PARENT","Вернуться туда, откуда открыто",IFERROR(INDEX(Реестр!$C:$C,MATCH(F50,Реестр!$A:$A,0)),"⚠ нет в реестре")))))</f>
        <v>Быстрый просмотр клиента</v>
      </c>
      <c r="H50" s="5" t="s">
        <v>380</v>
      </c>
      <c r="I50" s="5"/>
      <c r="J50" s="10" t="s">
        <v>297</v>
      </c>
    </row>
    <row r="51" customFormat="false" ht="15" hidden="false" customHeight="false" outlineLevel="0" collapsed="false">
      <c r="A51" s="5" t="s">
        <v>403</v>
      </c>
      <c r="B51" s="5" t="s">
        <v>182</v>
      </c>
      <c r="C51" s="5" t="s">
        <v>399</v>
      </c>
      <c r="D51" s="5" t="s">
        <v>367</v>
      </c>
      <c r="E51" s="5" t="s">
        <v>368</v>
      </c>
      <c r="F51" s="5"/>
      <c r="G51" s="11" t="str">
        <f aca="false">IF(F51="","⚠ не определено",IF(F51="ANCHOR","Прокрутка к секции",IF(F51="EXT","Внешняя ссылка",IF(F51="PARENT","Вернуться туда, откуда открыто",IFERROR(INDEX(Реестр!$C:$C,MATCH(F51,Реестр!$A:$A,0)),"⚠ нет в реестре")))))</f>
        <v>⚠ не определено</v>
      </c>
      <c r="H51" s="5" t="s">
        <v>380</v>
      </c>
      <c r="I51" s="5" t="s">
        <v>370</v>
      </c>
      <c r="J51" s="10" t="s">
        <v>297</v>
      </c>
    </row>
    <row r="52" customFormat="false" ht="15" hidden="false" customHeight="false" outlineLevel="0" collapsed="false">
      <c r="A52" s="5" t="s">
        <v>404</v>
      </c>
      <c r="B52" s="5" t="s">
        <v>182</v>
      </c>
      <c r="C52" s="5" t="s">
        <v>372</v>
      </c>
      <c r="D52" s="5" t="s">
        <v>129</v>
      </c>
      <c r="E52" s="5" t="s">
        <v>311</v>
      </c>
      <c r="F52" s="5" t="s">
        <v>127</v>
      </c>
      <c r="G52" s="11" t="str">
        <f aca="false">IF(F52="","⚠ не определено",IF(F52="ANCHOR","Прокрутка к секции",IF(F52="EXT","Внешняя ссылка",IF(F52="PARENT","Вернуться туда, откуда открыто",IFERROR(INDEX(Реестр!$C:$C,MATCH(F52,Реестр!$A:$A,0)),"⚠ нет в реестре")))))</f>
        <v>Сегодня</v>
      </c>
      <c r="H52" s="5" t="s">
        <v>380</v>
      </c>
      <c r="I52" s="5"/>
      <c r="J52" s="10" t="s">
        <v>297</v>
      </c>
    </row>
    <row r="53" customFormat="false" ht="15" hidden="false" customHeight="false" outlineLevel="0" collapsed="false">
      <c r="A53" s="5" t="s">
        <v>405</v>
      </c>
      <c r="B53" s="5" t="s">
        <v>182</v>
      </c>
      <c r="C53" s="5" t="s">
        <v>372</v>
      </c>
      <c r="D53" s="5" t="s">
        <v>181</v>
      </c>
      <c r="E53" s="5" t="s">
        <v>311</v>
      </c>
      <c r="F53" s="5" t="s">
        <v>179</v>
      </c>
      <c r="G53" s="11" t="str">
        <f aca="false">IF(F53="","⚠ не определено",IF(F53="ANCHOR","Прокрутка к секции",IF(F53="EXT","Внешняя ссылка",IF(F53="PARENT","Вернуться туда, откуда открыто",IFERROR(INDEX(Реестр!$C:$C,MATCH(F53,Реестр!$A:$A,0)),"⚠ нет в реестре")))))</f>
        <v>Шахматка (день)</v>
      </c>
      <c r="H53" s="5" t="s">
        <v>380</v>
      </c>
      <c r="I53" s="5" t="s">
        <v>373</v>
      </c>
      <c r="J53" s="10" t="s">
        <v>297</v>
      </c>
    </row>
    <row r="54" customFormat="false" ht="15" hidden="false" customHeight="false" outlineLevel="0" collapsed="false">
      <c r="A54" s="5" t="s">
        <v>406</v>
      </c>
      <c r="B54" s="5" t="s">
        <v>182</v>
      </c>
      <c r="C54" s="5" t="s">
        <v>372</v>
      </c>
      <c r="D54" s="5" t="s">
        <v>376</v>
      </c>
      <c r="E54" s="5" t="s">
        <v>311</v>
      </c>
      <c r="F54" s="5" t="s">
        <v>71</v>
      </c>
      <c r="G54" s="11" t="str">
        <f aca="false">IF(F54="","⚠ не определено",IF(F54="ANCHOR","Прокрутка к секции",IF(F54="EXT","Внешняя ссылка",IF(F54="PARENT","Вернуться туда, откуда открыто",IFERROR(INDEX(Реестр!$C:$C,MATCH(F54,Реестр!$A:$A,0)),"⚠ нет в реестре")))))</f>
        <v>Вход сотрудника</v>
      </c>
      <c r="H54" s="5" t="s">
        <v>380</v>
      </c>
      <c r="I54" s="5"/>
      <c r="J54" s="10" t="s">
        <v>297</v>
      </c>
    </row>
  </sheetData>
  <autoFilter ref="A1:J54"/>
  <conditionalFormatting sqref="G2:G1000">
    <cfRule type="expression" priority="2" aboveAverage="0" equalAverage="0" bottom="0" percent="0" rank="0" text="" dxfId="5">
      <formula>LEFT(G2,1)="⚠"</formula>
    </cfRule>
  </conditionalFormatting>
  <dataValidations count="1">
    <dataValidation allowBlank="true" errorStyle="stop" operator="between" showDropDown="false" showErrorMessage="false" showInputMessage="false" sqref="J2:J500" type="list">
      <formula1>"Не связано,Связано,Нет элемента,Требует решения,Не нужно"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4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32"/>
    <col collapsed="false" customWidth="true" hidden="false" outlineLevel="0" max="9" min="9" style="0" width="34"/>
    <col collapsed="false" customWidth="true" hidden="false" outlineLevel="0" max="10" min="10" style="0" width="16"/>
  </cols>
  <sheetData>
    <row r="1" customFormat="false" ht="31.5" hidden="false" customHeight="true" outlineLevel="0" collapsed="false">
      <c r="A1" s="4" t="s">
        <v>43</v>
      </c>
      <c r="B1" s="4" t="s">
        <v>23</v>
      </c>
      <c r="C1" s="4" t="s">
        <v>407</v>
      </c>
      <c r="D1" s="4" t="s">
        <v>408</v>
      </c>
      <c r="E1" s="4" t="s">
        <v>283</v>
      </c>
      <c r="F1" s="4" t="s">
        <v>285</v>
      </c>
      <c r="G1" s="4" t="s">
        <v>286</v>
      </c>
      <c r="H1" s="4" t="s">
        <v>287</v>
      </c>
      <c r="I1" s="4" t="s">
        <v>54</v>
      </c>
      <c r="J1" s="4" t="s">
        <v>289</v>
      </c>
    </row>
    <row r="2" customFormat="false" ht="46.25" hidden="false" customHeight="false" outlineLevel="0" collapsed="false">
      <c r="A2" s="5" t="s">
        <v>409</v>
      </c>
      <c r="B2" s="5" t="s">
        <v>32</v>
      </c>
      <c r="C2" s="5" t="s">
        <v>55</v>
      </c>
      <c r="D2" s="11" t="str">
        <f aca="false">IFERROR(INDEX(Реестр!$C:$C,MATCH(C2,Реестр!$A:$A,0)),"⚠ нет в реестре")</f>
        <v>Лендинг (секции: Услуги, Как это работает, Мастера, Работы, Контакты, Отзывы, Призыв записаться)</v>
      </c>
      <c r="E2" s="5" t="s">
        <v>410</v>
      </c>
      <c r="F2" s="5" t="s">
        <v>311</v>
      </c>
      <c r="G2" s="5" t="s">
        <v>82</v>
      </c>
      <c r="H2" s="11" t="str">
        <f aca="false">IF(G2="ANCHOR","Прокрутка к секции",IF(G2="EXT","Внешняя ссылка",IF(G2="PARENT","Вернуться туда, откуда открыто",IFERROR(INDEX(Реестр!$C:$C,MATCH(G2,Реестр!$A:$A,0)),"⚠ нет в реестре"))))</f>
        <v>Шаг 1. Услуги (мультивыбор, корзина визита)</v>
      </c>
      <c r="I2" s="5"/>
      <c r="J2" s="10" t="s">
        <v>297</v>
      </c>
    </row>
    <row r="3" customFormat="false" ht="46.25" hidden="false" customHeight="false" outlineLevel="0" collapsed="false">
      <c r="A3" s="5" t="s">
        <v>411</v>
      </c>
      <c r="B3" s="5" t="s">
        <v>32</v>
      </c>
      <c r="C3" s="5" t="s">
        <v>55</v>
      </c>
      <c r="D3" s="11" t="str">
        <f aca="false">IFERROR(INDEX(Реестр!$C:$C,MATCH(C3,Реестр!$A:$A,0)),"⚠ нет в реестре")</f>
        <v>Лендинг (секции: Услуги, Как это работает, Мастера, Работы, Контакты, Отзывы, Призыв записаться)</v>
      </c>
      <c r="E3" s="5" t="s">
        <v>412</v>
      </c>
      <c r="F3" s="5" t="s">
        <v>311</v>
      </c>
      <c r="G3" s="5" t="s">
        <v>82</v>
      </c>
      <c r="H3" s="11" t="str">
        <f aca="false">IF(G3="ANCHOR","Прокрутка к секции",IF(G3="EXT","Внешняя ссылка",IF(G3="PARENT","Вернуться туда, откуда открыто",IFERROR(INDEX(Реестр!$C:$C,MATCH(G3,Реестр!$A:$A,0)),"⚠ нет в реестре"))))</f>
        <v>Шаг 1. Услуги (мультивыбор, корзина визита)</v>
      </c>
      <c r="I3" s="5"/>
      <c r="J3" s="10" t="s">
        <v>297</v>
      </c>
    </row>
    <row r="4" customFormat="false" ht="46.25" hidden="false" customHeight="false" outlineLevel="0" collapsed="false">
      <c r="A4" s="5" t="s">
        <v>413</v>
      </c>
      <c r="B4" s="5" t="s">
        <v>32</v>
      </c>
      <c r="C4" s="5" t="s">
        <v>55</v>
      </c>
      <c r="D4" s="11" t="str">
        <f aca="false">IFERROR(INDEX(Реестр!$C:$C,MATCH(C4,Реестр!$A:$A,0)),"⚠ нет в реестре")</f>
        <v>Лендинг (секции: Услуги, Как это работает, Мастера, Работы, Контакты, Отзывы, Призыв записаться)</v>
      </c>
      <c r="E4" s="5" t="s">
        <v>414</v>
      </c>
      <c r="F4" s="5" t="s">
        <v>311</v>
      </c>
      <c r="G4" s="5" t="s">
        <v>82</v>
      </c>
      <c r="H4" s="11" t="str">
        <f aca="false">IF(G4="ANCHOR","Прокрутка к секции",IF(G4="EXT","Внешняя ссылка",IF(G4="PARENT","Вернуться туда, откуда открыто",IFERROR(INDEX(Реестр!$C:$C,MATCH(G4,Реестр!$A:$A,0)),"⚠ нет в реестре"))))</f>
        <v>Шаг 1. Услуги (мультивыбор, корзина визита)</v>
      </c>
      <c r="I4" s="5" t="s">
        <v>415</v>
      </c>
      <c r="J4" s="10" t="s">
        <v>297</v>
      </c>
    </row>
    <row r="5" customFormat="false" ht="46.25" hidden="false" customHeight="false" outlineLevel="0" collapsed="false">
      <c r="A5" s="5" t="s">
        <v>416</v>
      </c>
      <c r="B5" s="5" t="s">
        <v>32</v>
      </c>
      <c r="C5" s="5" t="s">
        <v>55</v>
      </c>
      <c r="D5" s="11" t="str">
        <f aca="false">IFERROR(INDEX(Реестр!$C:$C,MATCH(C5,Реестр!$A:$A,0)),"⚠ нет в реестре")</f>
        <v>Лендинг (секции: Услуги, Как это работает, Мастера, Работы, Контакты, Отзывы, Призыв записаться)</v>
      </c>
      <c r="E5" s="5" t="s">
        <v>417</v>
      </c>
      <c r="F5" s="5" t="s">
        <v>311</v>
      </c>
      <c r="G5" s="5" t="s">
        <v>61</v>
      </c>
      <c r="H5" s="11" t="str">
        <f aca="false">IF(G5="ANCHOR","Прокрутка к секции",IF(G5="EXT","Внешняя ссылка",IF(G5="PARENT","Вернуться туда, откуда открыто",IFERROR(INDEX(Реестр!$C:$C,MATCH(G5,Реестр!$A:$A,0)),"⚠ нет в реестре"))))</f>
        <v>Профиль мастера (публичный)</v>
      </c>
      <c r="I5" s="5"/>
      <c r="J5" s="10" t="s">
        <v>297</v>
      </c>
    </row>
    <row r="6" customFormat="false" ht="46.25" hidden="false" customHeight="false" outlineLevel="0" collapsed="false">
      <c r="A6" s="5" t="s">
        <v>418</v>
      </c>
      <c r="B6" s="5" t="s">
        <v>32</v>
      </c>
      <c r="C6" s="5" t="s">
        <v>55</v>
      </c>
      <c r="D6" s="11" t="str">
        <f aca="false">IFERROR(INDEX(Реестр!$C:$C,MATCH(C6,Реестр!$A:$A,0)),"⚠ нет в реестре")</f>
        <v>Лендинг (секции: Услуги, Как это работает, Мастера, Работы, Контакты, Отзывы, Призыв записаться)</v>
      </c>
      <c r="E6" s="5" t="s">
        <v>419</v>
      </c>
      <c r="F6" s="5" t="s">
        <v>311</v>
      </c>
      <c r="G6" s="5" t="s">
        <v>61</v>
      </c>
      <c r="H6" s="11" t="str">
        <f aca="false">IF(G6="ANCHOR","Прокрутка к секции",IF(G6="EXT","Внешняя ссылка",IF(G6="PARENT","Вернуться туда, откуда открыто",IFERROR(INDEX(Реестр!$C:$C,MATCH(G6,Реестр!$A:$A,0)),"⚠ нет в реестре"))))</f>
        <v>Профиль мастера (публичный)</v>
      </c>
      <c r="I6" s="5" t="s">
        <v>420</v>
      </c>
      <c r="J6" s="10" t="s">
        <v>297</v>
      </c>
    </row>
    <row r="7" customFormat="false" ht="46.25" hidden="false" customHeight="false" outlineLevel="0" collapsed="false">
      <c r="A7" s="5" t="s">
        <v>421</v>
      </c>
      <c r="B7" s="5" t="s">
        <v>32</v>
      </c>
      <c r="C7" s="5" t="s">
        <v>55</v>
      </c>
      <c r="D7" s="11" t="str">
        <f aca="false">IFERROR(INDEX(Реестр!$C:$C,MATCH(C7,Реестр!$A:$A,0)),"⚠ нет в реестре")</f>
        <v>Лендинг (секции: Услуги, Как это работает, Мастера, Работы, Контакты, Отзывы, Призыв записаться)</v>
      </c>
      <c r="E7" s="5" t="s">
        <v>422</v>
      </c>
      <c r="F7" s="5" t="s">
        <v>326</v>
      </c>
      <c r="G7" s="5" t="s">
        <v>327</v>
      </c>
      <c r="H7" s="11" t="str">
        <f aca="false">IF(G7="ANCHOR","Прокрутка к секции",IF(G7="EXT","Внешняя ссылка",IF(G7="PARENT","Вернуться туда, откуда открыто",IFERROR(INDEX(Реестр!$C:$C,MATCH(G7,Реестр!$A:$A,0)),"⚠ нет в реестре"))))</f>
        <v>Внешняя ссылка</v>
      </c>
      <c r="I7" s="5"/>
      <c r="J7" s="10" t="s">
        <v>297</v>
      </c>
    </row>
    <row r="8" customFormat="false" ht="23.85" hidden="false" customHeight="false" outlineLevel="0" collapsed="false">
      <c r="A8" s="5" t="s">
        <v>423</v>
      </c>
      <c r="B8" s="5" t="s">
        <v>32</v>
      </c>
      <c r="C8" s="5" t="s">
        <v>61</v>
      </c>
      <c r="D8" s="11" t="str">
        <f aca="false">IFERROR(INDEX(Реестр!$C:$C,MATCH(C8,Реестр!$A:$A,0)),"⚠ нет в реестре")</f>
        <v>Профиль мастера (публичный)</v>
      </c>
      <c r="E8" s="5" t="s">
        <v>424</v>
      </c>
      <c r="F8" s="5" t="s">
        <v>311</v>
      </c>
      <c r="G8" s="5" t="s">
        <v>82</v>
      </c>
      <c r="H8" s="11" t="str">
        <f aca="false">IF(G8="ANCHOR","Прокрутка к секции",IF(G8="EXT","Внешняя ссылка",IF(G8="PARENT","Вернуться туда, откуда открыто",IFERROR(INDEX(Реестр!$C:$C,MATCH(G8,Реестр!$A:$A,0)),"⚠ нет в реестре"))))</f>
        <v>Шаг 1. Услуги (мультивыбор, корзина визита)</v>
      </c>
      <c r="I8" s="5" t="s">
        <v>425</v>
      </c>
      <c r="J8" s="10" t="s">
        <v>297</v>
      </c>
    </row>
    <row r="9" customFormat="false" ht="46.25" hidden="false" customHeight="false" outlineLevel="0" collapsed="false">
      <c r="A9" s="5" t="s">
        <v>426</v>
      </c>
      <c r="B9" s="5" t="s">
        <v>32</v>
      </c>
      <c r="C9" s="5" t="s">
        <v>61</v>
      </c>
      <c r="D9" s="11" t="str">
        <f aca="false">IFERROR(INDEX(Реестр!$C:$C,MATCH(C9,Реестр!$A:$A,0)),"⚠ нет в реестре")</f>
        <v>Профиль мастера (публичный)</v>
      </c>
      <c r="E9" s="5" t="s">
        <v>427</v>
      </c>
      <c r="F9" s="5" t="s">
        <v>428</v>
      </c>
      <c r="G9" s="5" t="s">
        <v>55</v>
      </c>
      <c r="H9" s="11" t="str">
        <f aca="false">IF(G9="ANCHOR","Прокрутка к секции",IF(G9="EXT","Внешняя ссылка",IF(G9="PARENT","Вернуться туда, откуда открыто",IFERROR(INDEX(Реестр!$C:$C,MATCH(G9,Реестр!$A:$A,0)),"⚠ нет в реестре"))))</f>
        <v>Лендинг (секции: Услуги, Как это работает, Мастера, Работы, Контакты, Отзывы, Призыв записаться)</v>
      </c>
      <c r="I9" s="5" t="s">
        <v>429</v>
      </c>
      <c r="J9" s="10" t="s">
        <v>297</v>
      </c>
    </row>
    <row r="10" customFormat="false" ht="15" hidden="false" customHeight="false" outlineLevel="0" collapsed="false">
      <c r="A10" s="5" t="s">
        <v>430</v>
      </c>
      <c r="B10" s="5" t="s">
        <v>33</v>
      </c>
      <c r="C10" s="5" t="s">
        <v>64</v>
      </c>
      <c r="D10" s="11" t="str">
        <f aca="false">IFERROR(INDEX(Реестр!$C:$C,MATCH(C10,Реестр!$A:$A,0)),"⚠ нет в реестре")</f>
        <v>Вход клиента (номер телефона)</v>
      </c>
      <c r="E10" s="5" t="s">
        <v>431</v>
      </c>
      <c r="F10" s="5" t="s">
        <v>311</v>
      </c>
      <c r="G10" s="5" t="s">
        <v>67</v>
      </c>
      <c r="H10" s="11" t="str">
        <f aca="false">IF(G10="ANCHOR","Прокрутка к секции",IF(G10="EXT","Внешняя ссылка",IF(G10="PARENT","Вернуться туда, откуда открыто",IFERROR(INDEX(Реестр!$C:$C,MATCH(G10,Реестр!$A:$A,0)),"⚠ нет в реестре"))))</f>
        <v>Ввод кода из SMS (клиент)</v>
      </c>
      <c r="I10" s="5"/>
      <c r="J10" s="10" t="s">
        <v>297</v>
      </c>
    </row>
    <row r="11" customFormat="false" ht="46.25" hidden="false" customHeight="false" outlineLevel="0" collapsed="false">
      <c r="A11" s="5" t="s">
        <v>432</v>
      </c>
      <c r="B11" s="5" t="s">
        <v>33</v>
      </c>
      <c r="C11" s="5" t="s">
        <v>64</v>
      </c>
      <c r="D11" s="11" t="str">
        <f aca="false">IFERROR(INDEX(Реестр!$C:$C,MATCH(C11,Реестр!$A:$A,0)),"⚠ нет в реестре")</f>
        <v>Вход клиента (номер телефона)</v>
      </c>
      <c r="E11" s="5" t="s">
        <v>433</v>
      </c>
      <c r="F11" s="5" t="s">
        <v>428</v>
      </c>
      <c r="G11" s="5" t="s">
        <v>55</v>
      </c>
      <c r="H11" s="11" t="str">
        <f aca="false">IF(G11="ANCHOR","Прокрутка к секции",IF(G11="EXT","Внешняя ссылка",IF(G11="PARENT","Вернуться туда, откуда открыто",IFERROR(INDEX(Реестр!$C:$C,MATCH(G11,Реестр!$A:$A,0)),"⚠ нет в реестре"))))</f>
        <v>Лендинг (секции: Услуги, Как это работает, Мастера, Работы, Контакты, Отзывы, Призыв записаться)</v>
      </c>
      <c r="I11" s="5"/>
      <c r="J11" s="10" t="s">
        <v>297</v>
      </c>
    </row>
    <row r="12" customFormat="false" ht="23.85" hidden="false" customHeight="false" outlineLevel="0" collapsed="false">
      <c r="A12" s="5" t="s">
        <v>434</v>
      </c>
      <c r="B12" s="5" t="s">
        <v>33</v>
      </c>
      <c r="C12" s="5" t="s">
        <v>67</v>
      </c>
      <c r="D12" s="11" t="str">
        <f aca="false">IFERROR(INDEX(Реестр!$C:$C,MATCH(C12,Реестр!$A:$A,0)),"⚠ нет в реестре")</f>
        <v>Ввод кода из SMS (клиент)</v>
      </c>
      <c r="E12" s="5" t="s">
        <v>435</v>
      </c>
      <c r="F12" s="5" t="s">
        <v>311</v>
      </c>
      <c r="G12" s="5" t="s">
        <v>91</v>
      </c>
      <c r="H12" s="11" t="str">
        <f aca="false">IF(G12="ANCHOR","Прокрутка к секции",IF(G12="EXT","Внешняя ссылка",IF(G12="PARENT","Вернуться туда, откуда открыто",IFERROR(INDEX(Реестр!$C:$C,MATCH(G12,Реестр!$A:$A,0)),"⚠ нет в реестре"))))</f>
        <v>Шаг 4. Подтверждение</v>
      </c>
      <c r="I12" s="5" t="s">
        <v>436</v>
      </c>
      <c r="J12" s="10" t="s">
        <v>297</v>
      </c>
    </row>
    <row r="13" customFormat="false" ht="23.85" hidden="false" customHeight="false" outlineLevel="0" collapsed="false">
      <c r="A13" s="5" t="s">
        <v>437</v>
      </c>
      <c r="B13" s="5" t="s">
        <v>33</v>
      </c>
      <c r="C13" s="5" t="s">
        <v>67</v>
      </c>
      <c r="D13" s="11" t="str">
        <f aca="false">IFERROR(INDEX(Реестр!$C:$C,MATCH(C13,Реестр!$A:$A,0)),"⚠ нет в реестре")</f>
        <v>Ввод кода из SMS (клиент)</v>
      </c>
      <c r="E13" s="5" t="s">
        <v>438</v>
      </c>
      <c r="F13" s="5" t="s">
        <v>311</v>
      </c>
      <c r="G13" s="5" t="s">
        <v>69</v>
      </c>
      <c r="H13" s="11" t="str">
        <f aca="false">IF(G13="ANCHOR","Прокрутка к секции",IF(G13="EXT","Внешняя ссылка",IF(G13="PARENT","Вернуться туда, откуда открыто",IFERROR(INDEX(Реестр!$C:$C,MATCH(G13,Реестр!$A:$A,0)),"⚠ нет в реестре"))))</f>
        <v>Регистрация / заполнение профиля</v>
      </c>
      <c r="I13" s="5" t="s">
        <v>436</v>
      </c>
      <c r="J13" s="10" t="s">
        <v>297</v>
      </c>
    </row>
    <row r="14" customFormat="false" ht="15" hidden="false" customHeight="false" outlineLevel="0" collapsed="false">
      <c r="A14" s="5" t="s">
        <v>439</v>
      </c>
      <c r="B14" s="5" t="s">
        <v>33</v>
      </c>
      <c r="C14" s="5" t="s">
        <v>67</v>
      </c>
      <c r="D14" s="11" t="str">
        <f aca="false">IFERROR(INDEX(Реестр!$C:$C,MATCH(C14,Реестр!$A:$A,0)),"⚠ нет в реестре")</f>
        <v>Ввод кода из SMS (клиент)</v>
      </c>
      <c r="E14" s="5" t="s">
        <v>440</v>
      </c>
      <c r="F14" s="5" t="s">
        <v>428</v>
      </c>
      <c r="G14" s="5" t="s">
        <v>64</v>
      </c>
      <c r="H14" s="11" t="str">
        <f aca="false">IF(G14="ANCHOR","Прокрутка к секции",IF(G14="EXT","Внешняя ссылка",IF(G14="PARENT","Вернуться туда, откуда открыто",IFERROR(INDEX(Реестр!$C:$C,MATCH(G14,Реестр!$A:$A,0)),"⚠ нет в реестре"))))</f>
        <v>Вход клиента (номер телефона)</v>
      </c>
      <c r="I14" s="5"/>
      <c r="J14" s="10" t="s">
        <v>297</v>
      </c>
    </row>
    <row r="15" customFormat="false" ht="15" hidden="false" customHeight="false" outlineLevel="0" collapsed="false">
      <c r="A15" s="5" t="s">
        <v>441</v>
      </c>
      <c r="B15" s="5" t="s">
        <v>33</v>
      </c>
      <c r="C15" s="5" t="s">
        <v>69</v>
      </c>
      <c r="D15" s="11" t="str">
        <f aca="false">IFERROR(INDEX(Реестр!$C:$C,MATCH(C15,Реестр!$A:$A,0)),"⚠ нет в реестре")</f>
        <v>Регистрация / заполнение профиля</v>
      </c>
      <c r="E15" s="5" t="s">
        <v>442</v>
      </c>
      <c r="F15" s="5" t="s">
        <v>311</v>
      </c>
      <c r="G15" s="5" t="s">
        <v>105</v>
      </c>
      <c r="H15" s="11" t="str">
        <f aca="false">IF(G15="ANCHOR","Прокрутка к секции",IF(G15="EXT","Внешняя ссылка",IF(G15="PARENT","Вернуться туда, откуда открыто",IFERROR(INDEX(Реестр!$C:$C,MATCH(G15,Реестр!$A:$A,0)),"⚠ нет в реестре"))))</f>
        <v>Мои записи</v>
      </c>
      <c r="I15" s="5" t="s">
        <v>443</v>
      </c>
      <c r="J15" s="10" t="s">
        <v>297</v>
      </c>
    </row>
    <row r="16" customFormat="false" ht="23.85" hidden="false" customHeight="false" outlineLevel="0" collapsed="false">
      <c r="A16" s="5" t="s">
        <v>444</v>
      </c>
      <c r="B16" s="5" t="s">
        <v>33</v>
      </c>
      <c r="C16" s="5" t="s">
        <v>71</v>
      </c>
      <c r="D16" s="11" t="str">
        <f aca="false">IFERROR(INDEX(Реестр!$C:$C,MATCH(C16,Реестр!$A:$A,0)),"⚠ нет в реестре")</f>
        <v>Вход сотрудника</v>
      </c>
      <c r="E16" s="5" t="s">
        <v>445</v>
      </c>
      <c r="F16" s="5" t="s">
        <v>311</v>
      </c>
      <c r="G16" s="5" t="s">
        <v>79</v>
      </c>
      <c r="H16" s="11" t="str">
        <f aca="false">IF(G16="ANCHOR","Прокрутка к секции",IF(G16="EXT","Внешняя ссылка",IF(G16="PARENT","Вернуться туда, откуда открыто",IFERROR(INDEX(Реестр!$C:$C,MATCH(G16,Реестр!$A:$A,0)),"⚠ нет в реестре"))))</f>
        <v>Выбор контекста (мастер / администратор)</v>
      </c>
      <c r="I16" s="5" t="s">
        <v>436</v>
      </c>
      <c r="J16" s="10" t="s">
        <v>297</v>
      </c>
    </row>
    <row r="17" customFormat="false" ht="15" hidden="false" customHeight="false" outlineLevel="0" collapsed="false">
      <c r="A17" s="5" t="s">
        <v>446</v>
      </c>
      <c r="B17" s="5" t="s">
        <v>33</v>
      </c>
      <c r="C17" s="5" t="s">
        <v>71</v>
      </c>
      <c r="D17" s="11" t="str">
        <f aca="false">IFERROR(INDEX(Реестр!$C:$C,MATCH(C17,Реестр!$A:$A,0)),"⚠ нет в реестре")</f>
        <v>Вход сотрудника</v>
      </c>
      <c r="E17" s="5" t="s">
        <v>447</v>
      </c>
      <c r="F17" s="5" t="s">
        <v>311</v>
      </c>
      <c r="G17" s="5" t="s">
        <v>127</v>
      </c>
      <c r="H17" s="11" t="str">
        <f aca="false">IF(G17="ANCHOR","Прокрутка к секции",IF(G17="EXT","Внешняя ссылка",IF(G17="PARENT","Вернуться туда, откуда открыто",IFERROR(INDEX(Реестр!$C:$C,MATCH(G17,Реестр!$A:$A,0)),"⚠ нет в реестре"))))</f>
        <v>Сегодня</v>
      </c>
      <c r="I17" s="5" t="s">
        <v>448</v>
      </c>
      <c r="J17" s="10" t="s">
        <v>297</v>
      </c>
    </row>
    <row r="18" customFormat="false" ht="15" hidden="false" customHeight="false" outlineLevel="0" collapsed="false">
      <c r="A18" s="5" t="s">
        <v>449</v>
      </c>
      <c r="B18" s="5" t="s">
        <v>33</v>
      </c>
      <c r="C18" s="5" t="s">
        <v>71</v>
      </c>
      <c r="D18" s="11" t="str">
        <f aca="false">IFERROR(INDEX(Реестр!$C:$C,MATCH(C18,Реестр!$A:$A,0)),"⚠ нет в реестре")</f>
        <v>Вход сотрудника</v>
      </c>
      <c r="E18" s="5" t="s">
        <v>450</v>
      </c>
      <c r="F18" s="5" t="s">
        <v>311</v>
      </c>
      <c r="G18" s="5" t="s">
        <v>179</v>
      </c>
      <c r="H18" s="11" t="str">
        <f aca="false">IF(G18="ANCHOR","Прокрутка к секции",IF(G18="EXT","Внешняя ссылка",IF(G18="PARENT","Вернуться туда, откуда открыто",IFERROR(INDEX(Реестр!$C:$C,MATCH(G18,Реестр!$A:$A,0)),"⚠ нет в реестре"))))</f>
        <v>Шахматка (день)</v>
      </c>
      <c r="I18" s="5" t="s">
        <v>448</v>
      </c>
      <c r="J18" s="10" t="s">
        <v>297</v>
      </c>
    </row>
    <row r="19" customFormat="false" ht="15" hidden="false" customHeight="false" outlineLevel="0" collapsed="false">
      <c r="A19" s="5" t="s">
        <v>451</v>
      </c>
      <c r="B19" s="5" t="s">
        <v>33</v>
      </c>
      <c r="C19" s="5" t="s">
        <v>71</v>
      </c>
      <c r="D19" s="11" t="str">
        <f aca="false">IFERROR(INDEX(Реестр!$C:$C,MATCH(C19,Реестр!$A:$A,0)),"⚠ нет в реестре")</f>
        <v>Вход сотрудника</v>
      </c>
      <c r="E19" s="5" t="s">
        <v>452</v>
      </c>
      <c r="F19" s="5" t="s">
        <v>311</v>
      </c>
      <c r="G19" s="5" t="s">
        <v>77</v>
      </c>
      <c r="H19" s="11" t="str">
        <f aca="false">IF(G19="ANCHOR","Прокрутка к секции",IF(G19="EXT","Внешняя ссылка",IF(G19="PARENT","Вернуться туда, откуда открыто",IFERROR(INDEX(Реестр!$C:$C,MATCH(G19,Реестр!$A:$A,0)),"⚠ нет в реестре"))))</f>
        <v>Восстановление пароля</v>
      </c>
      <c r="I19" s="5"/>
      <c r="J19" s="10" t="s">
        <v>297</v>
      </c>
    </row>
    <row r="20" customFormat="false" ht="15" hidden="false" customHeight="false" outlineLevel="0" collapsed="false">
      <c r="A20" s="5" t="s">
        <v>453</v>
      </c>
      <c r="B20" s="5" t="s">
        <v>33</v>
      </c>
      <c r="C20" s="5" t="s">
        <v>71</v>
      </c>
      <c r="D20" s="11" t="str">
        <f aca="false">IFERROR(INDEX(Реестр!$C:$C,MATCH(C20,Реестр!$A:$A,0)),"⚠ нет в реестре")</f>
        <v>Вход сотрудника</v>
      </c>
      <c r="E20" s="5" t="s">
        <v>454</v>
      </c>
      <c r="F20" s="5" t="s">
        <v>311</v>
      </c>
      <c r="G20" s="5" t="s">
        <v>75</v>
      </c>
      <c r="H20" s="11" t="str">
        <f aca="false">IF(G20="ANCHOR","Прокрутка к секции",IF(G20="EXT","Внешняя ссылка",IF(G20="PARENT","Вернуться туда, откуда открыто",IFERROR(INDEX(Реестр!$C:$C,MATCH(G20,Реестр!$A:$A,0)),"⚠ нет в реестре"))))</f>
        <v>Вход сотрудника по коду из SMS</v>
      </c>
      <c r="I20" s="5"/>
      <c r="J20" s="10" t="s">
        <v>297</v>
      </c>
    </row>
    <row r="21" customFormat="false" ht="23.85" hidden="false" customHeight="false" outlineLevel="0" collapsed="false">
      <c r="A21" s="5" t="s">
        <v>455</v>
      </c>
      <c r="B21" s="5" t="s">
        <v>33</v>
      </c>
      <c r="C21" s="5" t="s">
        <v>75</v>
      </c>
      <c r="D21" s="11" t="str">
        <f aca="false">IFERROR(INDEX(Реестр!$C:$C,MATCH(C21,Реестр!$A:$A,0)),"⚠ нет в реестре")</f>
        <v>Вход сотрудника по коду из SMS</v>
      </c>
      <c r="E21" s="5" t="s">
        <v>456</v>
      </c>
      <c r="F21" s="5" t="s">
        <v>311</v>
      </c>
      <c r="G21" s="5" t="s">
        <v>79</v>
      </c>
      <c r="H21" s="11" t="str">
        <f aca="false">IF(G21="ANCHOR","Прокрутка к секции",IF(G21="EXT","Внешняя ссылка",IF(G21="PARENT","Вернуться туда, откуда открыто",IFERROR(INDEX(Реестр!$C:$C,MATCH(G21,Реестр!$A:$A,0)),"⚠ нет в реестре"))))</f>
        <v>Выбор контекста (мастер / администратор)</v>
      </c>
      <c r="I21" s="5"/>
      <c r="J21" s="10" t="s">
        <v>297</v>
      </c>
    </row>
    <row r="22" customFormat="false" ht="15" hidden="false" customHeight="false" outlineLevel="0" collapsed="false">
      <c r="A22" s="5" t="s">
        <v>457</v>
      </c>
      <c r="B22" s="5" t="s">
        <v>33</v>
      </c>
      <c r="C22" s="5" t="s">
        <v>75</v>
      </c>
      <c r="D22" s="11" t="str">
        <f aca="false">IFERROR(INDEX(Реестр!$C:$C,MATCH(C22,Реестр!$A:$A,0)),"⚠ нет в реестре")</f>
        <v>Вход сотрудника по коду из SMS</v>
      </c>
      <c r="E22" s="5" t="s">
        <v>458</v>
      </c>
      <c r="F22" s="5" t="s">
        <v>428</v>
      </c>
      <c r="G22" s="5" t="s">
        <v>71</v>
      </c>
      <c r="H22" s="11" t="str">
        <f aca="false">IF(G22="ANCHOR","Прокрутка к секции",IF(G22="EXT","Внешняя ссылка",IF(G22="PARENT","Вернуться туда, откуда открыто",IFERROR(INDEX(Реестр!$C:$C,MATCH(G22,Реестр!$A:$A,0)),"⚠ нет в реестре"))))</f>
        <v>Вход сотрудника</v>
      </c>
      <c r="I22" s="5"/>
      <c r="J22" s="10" t="s">
        <v>297</v>
      </c>
    </row>
    <row r="23" customFormat="false" ht="15" hidden="false" customHeight="false" outlineLevel="0" collapsed="false">
      <c r="A23" s="5" t="s">
        <v>459</v>
      </c>
      <c r="B23" s="5" t="s">
        <v>33</v>
      </c>
      <c r="C23" s="5" t="s">
        <v>77</v>
      </c>
      <c r="D23" s="11" t="str">
        <f aca="false">IFERROR(INDEX(Реестр!$C:$C,MATCH(C23,Реестр!$A:$A,0)),"⚠ нет в реестре")</f>
        <v>Восстановление пароля</v>
      </c>
      <c r="E23" s="5" t="s">
        <v>460</v>
      </c>
      <c r="F23" s="5" t="s">
        <v>311</v>
      </c>
      <c r="G23" s="5" t="s">
        <v>71</v>
      </c>
      <c r="H23" s="11" t="str">
        <f aca="false">IF(G23="ANCHOR","Прокрутка к секции",IF(G23="EXT","Внешняя ссылка",IF(G23="PARENT","Вернуться туда, откуда открыто",IFERROR(INDEX(Реестр!$C:$C,MATCH(G23,Реестр!$A:$A,0)),"⚠ нет в реестре"))))</f>
        <v>Вход сотрудника</v>
      </c>
      <c r="I23" s="5"/>
      <c r="J23" s="10" t="s">
        <v>297</v>
      </c>
    </row>
    <row r="24" customFormat="false" ht="15" hidden="false" customHeight="false" outlineLevel="0" collapsed="false">
      <c r="A24" s="5" t="s">
        <v>461</v>
      </c>
      <c r="B24" s="5" t="s">
        <v>33</v>
      </c>
      <c r="C24" s="5" t="s">
        <v>77</v>
      </c>
      <c r="D24" s="11" t="str">
        <f aca="false">IFERROR(INDEX(Реестр!$C:$C,MATCH(C24,Реестр!$A:$A,0)),"⚠ нет в реестре")</f>
        <v>Восстановление пароля</v>
      </c>
      <c r="E24" s="5" t="s">
        <v>462</v>
      </c>
      <c r="F24" s="5" t="s">
        <v>428</v>
      </c>
      <c r="G24" s="5" t="s">
        <v>71</v>
      </c>
      <c r="H24" s="11" t="str">
        <f aca="false">IF(G24="ANCHOR","Прокрутка к секции",IF(G24="EXT","Внешняя ссылка",IF(G24="PARENT","Вернуться туда, откуда открыто",IFERROR(INDEX(Реестр!$C:$C,MATCH(G24,Реестр!$A:$A,0)),"⚠ нет в реестре"))))</f>
        <v>Вход сотрудника</v>
      </c>
      <c r="I24" s="5"/>
      <c r="J24" s="10" t="s">
        <v>297</v>
      </c>
    </row>
    <row r="25" customFormat="false" ht="23.85" hidden="false" customHeight="false" outlineLevel="0" collapsed="false">
      <c r="A25" s="5" t="s">
        <v>463</v>
      </c>
      <c r="B25" s="5" t="s">
        <v>33</v>
      </c>
      <c r="C25" s="5" t="s">
        <v>79</v>
      </c>
      <c r="D25" s="11" t="str">
        <f aca="false">IFERROR(INDEX(Реестр!$C:$C,MATCH(C25,Реестр!$A:$A,0)),"⚠ нет в реестре")</f>
        <v>Выбор контекста (мастер / администратор)</v>
      </c>
      <c r="E25" s="5" t="s">
        <v>464</v>
      </c>
      <c r="F25" s="5" t="s">
        <v>311</v>
      </c>
      <c r="G25" s="5" t="s">
        <v>127</v>
      </c>
      <c r="H25" s="11" t="str">
        <f aca="false">IF(G25="ANCHOR","Прокрутка к секции",IF(G25="EXT","Внешняя ссылка",IF(G25="PARENT","Вернуться туда, откуда открыто",IFERROR(INDEX(Реестр!$C:$C,MATCH(G25,Реестр!$A:$A,0)),"⚠ нет в реестре"))))</f>
        <v>Сегодня</v>
      </c>
      <c r="I25" s="5"/>
      <c r="J25" s="10" t="s">
        <v>297</v>
      </c>
    </row>
    <row r="26" customFormat="false" ht="23.85" hidden="false" customHeight="false" outlineLevel="0" collapsed="false">
      <c r="A26" s="5" t="s">
        <v>465</v>
      </c>
      <c r="B26" s="5" t="s">
        <v>33</v>
      </c>
      <c r="C26" s="5" t="s">
        <v>79</v>
      </c>
      <c r="D26" s="11" t="str">
        <f aca="false">IFERROR(INDEX(Реестр!$C:$C,MATCH(C26,Реестр!$A:$A,0)),"⚠ нет в реестре")</f>
        <v>Выбор контекста (мастер / администратор)</v>
      </c>
      <c r="E26" s="5" t="s">
        <v>466</v>
      </c>
      <c r="F26" s="5" t="s">
        <v>311</v>
      </c>
      <c r="G26" s="5" t="s">
        <v>179</v>
      </c>
      <c r="H26" s="11" t="str">
        <f aca="false">IF(G26="ANCHOR","Прокрутка к секции",IF(G26="EXT","Внешняя ссылка",IF(G26="PARENT","Вернуться туда, откуда открыто",IFERROR(INDEX(Реестр!$C:$C,MATCH(G26,Реестр!$A:$A,0)),"⚠ нет в реестре"))))</f>
        <v>Шахматка (день)</v>
      </c>
      <c r="I26" s="5"/>
      <c r="J26" s="10" t="s">
        <v>297</v>
      </c>
    </row>
    <row r="27" customFormat="false" ht="23.85" hidden="false" customHeight="false" outlineLevel="0" collapsed="false">
      <c r="A27" s="5" t="s">
        <v>467</v>
      </c>
      <c r="B27" s="5" t="s">
        <v>34</v>
      </c>
      <c r="C27" s="5" t="s">
        <v>82</v>
      </c>
      <c r="D27" s="11" t="str">
        <f aca="false">IFERROR(INDEX(Реестр!$C:$C,MATCH(C27,Реестр!$A:$A,0)),"⚠ нет в реестре")</f>
        <v>Шаг 1. Услуги (мультивыбор, корзина визита)</v>
      </c>
      <c r="E27" s="5" t="s">
        <v>468</v>
      </c>
      <c r="F27" s="5" t="s">
        <v>311</v>
      </c>
      <c r="G27" s="5" t="s">
        <v>82</v>
      </c>
      <c r="H27" s="11" t="str">
        <f aca="false">IF(G27="ANCHOR","Прокрутка к секции",IF(G27="EXT","Внешняя ссылка",IF(G27="PARENT","Вернуться туда, откуда открыто",IFERROR(INDEX(Реестр!$C:$C,MATCH(G27,Реестр!$A:$A,0)),"⚠ нет в реестре"))))</f>
        <v>Шаг 1. Услуги (мультивыбор, корзина визита)</v>
      </c>
      <c r="I27" s="5" t="s">
        <v>469</v>
      </c>
      <c r="J27" s="10" t="s">
        <v>297</v>
      </c>
    </row>
    <row r="28" customFormat="false" ht="23.85" hidden="false" customHeight="false" outlineLevel="0" collapsed="false">
      <c r="A28" s="5" t="s">
        <v>470</v>
      </c>
      <c r="B28" s="5" t="s">
        <v>34</v>
      </c>
      <c r="C28" s="5" t="s">
        <v>82</v>
      </c>
      <c r="D28" s="11" t="str">
        <f aca="false">IFERROR(INDEX(Реестр!$C:$C,MATCH(C28,Реестр!$A:$A,0)),"⚠ нет в реестре")</f>
        <v>Шаг 1. Услуги (мультивыбор, корзина визита)</v>
      </c>
      <c r="E28" s="5" t="s">
        <v>471</v>
      </c>
      <c r="F28" s="5" t="s">
        <v>311</v>
      </c>
      <c r="G28" s="5" t="s">
        <v>86</v>
      </c>
      <c r="H28" s="11" t="str">
        <f aca="false">IF(G28="ANCHOR","Прокрутка к секции",IF(G28="EXT","Внешняя ссылка",IF(G28="PARENT","Вернуться туда, откуда открыто",IFERROR(INDEX(Реестр!$C:$C,MATCH(G28,Реестр!$A:$A,0)),"⚠ нет в реестре"))))</f>
        <v>Шаг 2. Мастер</v>
      </c>
      <c r="I28" s="5"/>
      <c r="J28" s="10" t="s">
        <v>297</v>
      </c>
    </row>
    <row r="29" customFormat="false" ht="23.85" hidden="false" customHeight="false" outlineLevel="0" collapsed="false">
      <c r="A29" s="5" t="s">
        <v>472</v>
      </c>
      <c r="B29" s="5" t="s">
        <v>34</v>
      </c>
      <c r="C29" s="5" t="s">
        <v>82</v>
      </c>
      <c r="D29" s="11" t="str">
        <f aca="false">IFERROR(INDEX(Реестр!$C:$C,MATCH(C29,Реестр!$A:$A,0)),"⚠ нет в реестре")</f>
        <v>Шаг 1. Услуги (мультивыбор, корзина визита)</v>
      </c>
      <c r="E29" s="5" t="s">
        <v>473</v>
      </c>
      <c r="F29" s="5" t="s">
        <v>311</v>
      </c>
      <c r="G29" s="5" t="s">
        <v>88</v>
      </c>
      <c r="H29" s="11" t="str">
        <f aca="false">IF(G29="ANCHOR","Прокрутка к секции",IF(G29="EXT","Внешняя ссылка",IF(G29="PARENT","Вернуться туда, откуда открыто",IFERROR(INDEX(Реестр!$C:$C,MATCH(G29,Реестр!$A:$A,0)),"⚠ нет в реестре"))))</f>
        <v>Шаг 3. Время</v>
      </c>
      <c r="I29" s="5" t="s">
        <v>474</v>
      </c>
      <c r="J29" s="10" t="s">
        <v>297</v>
      </c>
    </row>
    <row r="30" customFormat="false" ht="15" hidden="false" customHeight="false" outlineLevel="0" collapsed="false">
      <c r="A30" s="5" t="s">
        <v>475</v>
      </c>
      <c r="B30" s="5" t="s">
        <v>34</v>
      </c>
      <c r="C30" s="5" t="s">
        <v>86</v>
      </c>
      <c r="D30" s="11" t="str">
        <f aca="false">IFERROR(INDEX(Реестр!$C:$C,MATCH(C30,Реестр!$A:$A,0)),"⚠ нет в реестре")</f>
        <v>Шаг 2. Мастер</v>
      </c>
      <c r="E30" s="5" t="s">
        <v>233</v>
      </c>
      <c r="F30" s="5" t="s">
        <v>311</v>
      </c>
      <c r="G30" s="5" t="s">
        <v>88</v>
      </c>
      <c r="H30" s="11" t="str">
        <f aca="false">IF(G30="ANCHOR","Прокрутка к секции",IF(G30="EXT","Внешняя ссылка",IF(G30="PARENT","Вернуться туда, откуда открыто",IFERROR(INDEX(Реестр!$C:$C,MATCH(G30,Реестр!$A:$A,0)),"⚠ нет в реестре"))))</f>
        <v>Шаг 3. Время</v>
      </c>
      <c r="I30" s="5"/>
      <c r="J30" s="10" t="s">
        <v>297</v>
      </c>
    </row>
    <row r="31" customFormat="false" ht="15" hidden="false" customHeight="false" outlineLevel="0" collapsed="false">
      <c r="A31" s="5" t="s">
        <v>476</v>
      </c>
      <c r="B31" s="5" t="s">
        <v>34</v>
      </c>
      <c r="C31" s="5" t="s">
        <v>86</v>
      </c>
      <c r="D31" s="11" t="str">
        <f aca="false">IFERROR(INDEX(Реестр!$C:$C,MATCH(C31,Реестр!$A:$A,0)),"⚠ нет в реестре")</f>
        <v>Шаг 2. Мастер</v>
      </c>
      <c r="E31" s="5" t="s">
        <v>477</v>
      </c>
      <c r="F31" s="5" t="s">
        <v>311</v>
      </c>
      <c r="G31" s="5" t="s">
        <v>88</v>
      </c>
      <c r="H31" s="11" t="str">
        <f aca="false">IF(G31="ANCHOR","Прокрутка к секции",IF(G31="EXT","Внешняя ссылка",IF(G31="PARENT","Вернуться туда, откуда открыто",IFERROR(INDEX(Реестр!$C:$C,MATCH(G31,Реестр!$A:$A,0)),"⚠ нет в реестре"))))</f>
        <v>Шаг 3. Время</v>
      </c>
      <c r="I31" s="5"/>
      <c r="J31" s="10" t="s">
        <v>297</v>
      </c>
    </row>
    <row r="32" customFormat="false" ht="23.85" hidden="false" customHeight="false" outlineLevel="0" collapsed="false">
      <c r="A32" s="5" t="s">
        <v>478</v>
      </c>
      <c r="B32" s="5" t="s">
        <v>34</v>
      </c>
      <c r="C32" s="5" t="s">
        <v>86</v>
      </c>
      <c r="D32" s="11" t="str">
        <f aca="false">IFERROR(INDEX(Реестр!$C:$C,MATCH(C32,Реестр!$A:$A,0)),"⚠ нет в реестре")</f>
        <v>Шаг 2. Мастер</v>
      </c>
      <c r="E32" s="5" t="s">
        <v>479</v>
      </c>
      <c r="F32" s="5" t="s">
        <v>428</v>
      </c>
      <c r="G32" s="5" t="s">
        <v>82</v>
      </c>
      <c r="H32" s="11" t="str">
        <f aca="false">IF(G32="ANCHOR","Прокрутка к секции",IF(G32="EXT","Внешняя ссылка",IF(G32="PARENT","Вернуться туда, откуда открыто",IFERROR(INDEX(Реестр!$C:$C,MATCH(G32,Реестр!$A:$A,0)),"⚠ нет в реестре"))))</f>
        <v>Шаг 1. Услуги (мультивыбор, корзина визита)</v>
      </c>
      <c r="I32" s="5"/>
      <c r="J32" s="10" t="s">
        <v>297</v>
      </c>
    </row>
    <row r="33" customFormat="false" ht="15" hidden="false" customHeight="false" outlineLevel="0" collapsed="false">
      <c r="A33" s="5" t="s">
        <v>480</v>
      </c>
      <c r="B33" s="5" t="s">
        <v>34</v>
      </c>
      <c r="C33" s="5" t="s">
        <v>88</v>
      </c>
      <c r="D33" s="11" t="str">
        <f aca="false">IFERROR(INDEX(Реестр!$C:$C,MATCH(C33,Реестр!$A:$A,0)),"⚠ нет в реестре")</f>
        <v>Шаг 3. Время</v>
      </c>
      <c r="E33" s="5" t="s">
        <v>481</v>
      </c>
      <c r="F33" s="5" t="s">
        <v>311</v>
      </c>
      <c r="G33" s="5" t="s">
        <v>91</v>
      </c>
      <c r="H33" s="11" t="str">
        <f aca="false">IF(G33="ANCHOR","Прокрутка к секции",IF(G33="EXT","Внешняя ссылка",IF(G33="PARENT","Вернуться туда, откуда открыто",IFERROR(INDEX(Реестр!$C:$C,MATCH(G33,Реестр!$A:$A,0)),"⚠ нет в реестре"))))</f>
        <v>Шаг 4. Подтверждение</v>
      </c>
      <c r="I33" s="5"/>
      <c r="J33" s="10" t="s">
        <v>297</v>
      </c>
    </row>
    <row r="34" customFormat="false" ht="15" hidden="false" customHeight="false" outlineLevel="0" collapsed="false">
      <c r="A34" s="5" t="s">
        <v>482</v>
      </c>
      <c r="B34" s="5" t="s">
        <v>34</v>
      </c>
      <c r="C34" s="5" t="s">
        <v>88</v>
      </c>
      <c r="D34" s="11" t="str">
        <f aca="false">IFERROR(INDEX(Реестр!$C:$C,MATCH(C34,Реестр!$A:$A,0)),"⚠ нет в реестре")</f>
        <v>Шаг 3. Время</v>
      </c>
      <c r="E34" s="5" t="s">
        <v>483</v>
      </c>
      <c r="F34" s="5" t="s">
        <v>100</v>
      </c>
      <c r="G34" s="5" t="s">
        <v>98</v>
      </c>
      <c r="H34" s="11" t="str">
        <f aca="false">IF(G34="ANCHOR","Прокрутка к секции",IF(G34="EXT","Внешняя ссылка",IF(G34="PARENT","Вернуться туда, откуда открыто",IFERROR(INDEX(Реестр!$C:$C,MATCH(G34,Реестр!$A:$A,0)),"⚠ нет в реестре"))))</f>
        <v>Лист ожидания (форма клиента)</v>
      </c>
      <c r="I34" s="5"/>
      <c r="J34" s="10" t="s">
        <v>297</v>
      </c>
    </row>
    <row r="35" customFormat="false" ht="15" hidden="false" customHeight="false" outlineLevel="0" collapsed="false">
      <c r="A35" s="5" t="s">
        <v>484</v>
      </c>
      <c r="B35" s="5" t="s">
        <v>34</v>
      </c>
      <c r="C35" s="5" t="s">
        <v>88</v>
      </c>
      <c r="D35" s="11" t="str">
        <f aca="false">IFERROR(INDEX(Реестр!$C:$C,MATCH(C35,Реестр!$A:$A,0)),"⚠ нет в реестре")</f>
        <v>Шаг 3. Время</v>
      </c>
      <c r="E35" s="5" t="s">
        <v>485</v>
      </c>
      <c r="F35" s="5" t="s">
        <v>100</v>
      </c>
      <c r="G35" s="5" t="s">
        <v>102</v>
      </c>
      <c r="H35" s="11" t="str">
        <f aca="false">IF(G35="ANCHOR","Прокрутка к секции",IF(G35="EXT","Внешняя ссылка",IF(G35="PARENT","Вернуться туда, откуда открыто",IFERROR(INDEX(Реестр!$C:$C,MATCH(G35,Реестр!$A:$A,0)),"⚠ нет в реестре"))))</f>
        <v>Слот занят</v>
      </c>
      <c r="I35" s="5" t="s">
        <v>486</v>
      </c>
      <c r="J35" s="10" t="s">
        <v>297</v>
      </c>
    </row>
    <row r="36" customFormat="false" ht="15" hidden="false" customHeight="false" outlineLevel="0" collapsed="false">
      <c r="A36" s="5" t="s">
        <v>487</v>
      </c>
      <c r="B36" s="5" t="s">
        <v>34</v>
      </c>
      <c r="C36" s="5" t="s">
        <v>88</v>
      </c>
      <c r="D36" s="11" t="str">
        <f aca="false">IFERROR(INDEX(Реестр!$C:$C,MATCH(C36,Реестр!$A:$A,0)),"⚠ нет в реестре")</f>
        <v>Шаг 3. Время</v>
      </c>
      <c r="E36" s="5" t="s">
        <v>479</v>
      </c>
      <c r="F36" s="5" t="s">
        <v>428</v>
      </c>
      <c r="G36" s="5" t="s">
        <v>86</v>
      </c>
      <c r="H36" s="11" t="str">
        <f aca="false">IF(G36="ANCHOR","Прокрутка к секции",IF(G36="EXT","Внешняя ссылка",IF(G36="PARENT","Вернуться туда, откуда открыто",IFERROR(INDEX(Реестр!$C:$C,MATCH(G36,Реестр!$A:$A,0)),"⚠ нет в реестре"))))</f>
        <v>Шаг 2. Мастер</v>
      </c>
      <c r="I36" s="5"/>
      <c r="J36" s="10" t="s">
        <v>297</v>
      </c>
    </row>
    <row r="37" customFormat="false" ht="23.85" hidden="false" customHeight="false" outlineLevel="0" collapsed="false">
      <c r="A37" s="5" t="s">
        <v>488</v>
      </c>
      <c r="B37" s="5" t="s">
        <v>34</v>
      </c>
      <c r="C37" s="5" t="s">
        <v>98</v>
      </c>
      <c r="D37" s="11" t="str">
        <f aca="false">IFERROR(INDEX(Реестр!$C:$C,MATCH(C37,Реестр!$A:$A,0)),"⚠ нет в реестре")</f>
        <v>Лист ожидания (форма клиента)</v>
      </c>
      <c r="E37" s="5" t="s">
        <v>483</v>
      </c>
      <c r="F37" s="5" t="s">
        <v>311</v>
      </c>
      <c r="G37" s="5" t="s">
        <v>93</v>
      </c>
      <c r="H37" s="11" t="str">
        <f aca="false">IF(G37="ANCHOR","Прокрутка к секции",IF(G37="EXT","Внешняя ссылка",IF(G37="PARENT","Вернуться туда, откуда открыто",IFERROR(INDEX(Реестр!$C:$C,MATCH(G37,Реестр!$A:$A,0)),"⚠ нет в реестре"))))</f>
        <v>Успех</v>
      </c>
      <c r="I37" s="5" t="s">
        <v>489</v>
      </c>
      <c r="J37" s="10" t="s">
        <v>297</v>
      </c>
    </row>
    <row r="38" customFormat="false" ht="15" hidden="false" customHeight="false" outlineLevel="0" collapsed="false">
      <c r="A38" s="5" t="s">
        <v>490</v>
      </c>
      <c r="B38" s="5" t="s">
        <v>34</v>
      </c>
      <c r="C38" s="5" t="s">
        <v>98</v>
      </c>
      <c r="D38" s="11" t="str">
        <f aca="false">IFERROR(INDEX(Реестр!$C:$C,MATCH(C38,Реестр!$A:$A,0)),"⚠ нет в реестре")</f>
        <v>Лист ожидания (форма клиента)</v>
      </c>
      <c r="E38" s="5" t="s">
        <v>491</v>
      </c>
      <c r="F38" s="5" t="s">
        <v>492</v>
      </c>
      <c r="G38" s="5" t="s">
        <v>88</v>
      </c>
      <c r="H38" s="11" t="str">
        <f aca="false">IF(G38="ANCHOR","Прокрутка к секции",IF(G38="EXT","Внешняя ссылка",IF(G38="PARENT","Вернуться туда, откуда открыто",IFERROR(INDEX(Реестр!$C:$C,MATCH(G38,Реестр!$A:$A,0)),"⚠ нет в реестре"))))</f>
        <v>Шаг 3. Время</v>
      </c>
      <c r="I38" s="5"/>
      <c r="J38" s="10" t="s">
        <v>297</v>
      </c>
    </row>
    <row r="39" customFormat="false" ht="15" hidden="false" customHeight="false" outlineLevel="0" collapsed="false">
      <c r="A39" s="5" t="s">
        <v>493</v>
      </c>
      <c r="B39" s="5" t="s">
        <v>34</v>
      </c>
      <c r="C39" s="5" t="s">
        <v>102</v>
      </c>
      <c r="D39" s="11" t="str">
        <f aca="false">IFERROR(INDEX(Реестр!$C:$C,MATCH(C39,Реестр!$A:$A,0)),"⚠ нет в реестре")</f>
        <v>Слот занят</v>
      </c>
      <c r="E39" s="5" t="s">
        <v>494</v>
      </c>
      <c r="F39" s="5" t="s">
        <v>492</v>
      </c>
      <c r="G39" s="5" t="s">
        <v>88</v>
      </c>
      <c r="H39" s="11" t="str">
        <f aca="false">IF(G39="ANCHOR","Прокрутка к секции",IF(G39="EXT","Внешняя ссылка",IF(G39="PARENT","Вернуться туда, откуда открыто",IFERROR(INDEX(Реестр!$C:$C,MATCH(G39,Реестр!$A:$A,0)),"⚠ нет в реестре"))))</f>
        <v>Шаг 3. Время</v>
      </c>
      <c r="I39" s="5"/>
      <c r="J39" s="10" t="s">
        <v>297</v>
      </c>
    </row>
    <row r="40" customFormat="false" ht="15" hidden="false" customHeight="false" outlineLevel="0" collapsed="false">
      <c r="A40" s="5" t="s">
        <v>495</v>
      </c>
      <c r="B40" s="5" t="s">
        <v>34</v>
      </c>
      <c r="C40" s="5" t="s">
        <v>102</v>
      </c>
      <c r="D40" s="11" t="str">
        <f aca="false">IFERROR(INDEX(Реестр!$C:$C,MATCH(C40,Реестр!$A:$A,0)),"⚠ нет в реестре")</f>
        <v>Слот занят</v>
      </c>
      <c r="E40" s="5" t="s">
        <v>483</v>
      </c>
      <c r="F40" s="5" t="s">
        <v>100</v>
      </c>
      <c r="G40" s="5" t="s">
        <v>98</v>
      </c>
      <c r="H40" s="11" t="str">
        <f aca="false">IF(G40="ANCHOR","Прокрутка к секции",IF(G40="EXT","Внешняя ссылка",IF(G40="PARENT","Вернуться туда, откуда открыто",IFERROR(INDEX(Реестр!$C:$C,MATCH(G40,Реестр!$A:$A,0)),"⚠ нет в реестре"))))</f>
        <v>Лист ожидания (форма клиента)</v>
      </c>
      <c r="I40" s="5" t="s">
        <v>496</v>
      </c>
      <c r="J40" s="10" t="s">
        <v>297</v>
      </c>
    </row>
    <row r="41" customFormat="false" ht="15" hidden="false" customHeight="false" outlineLevel="0" collapsed="false">
      <c r="A41" s="5" t="s">
        <v>497</v>
      </c>
      <c r="B41" s="5" t="s">
        <v>34</v>
      </c>
      <c r="C41" s="5" t="s">
        <v>91</v>
      </c>
      <c r="D41" s="11" t="str">
        <f aca="false">IFERROR(INDEX(Реестр!$C:$C,MATCH(C41,Реестр!$A:$A,0)),"⚠ нет в реестре")</f>
        <v>Шаг 4. Подтверждение</v>
      </c>
      <c r="E41" s="5" t="s">
        <v>498</v>
      </c>
      <c r="F41" s="5" t="s">
        <v>311</v>
      </c>
      <c r="G41" s="5" t="s">
        <v>64</v>
      </c>
      <c r="H41" s="11" t="str">
        <f aca="false">IF(G41="ANCHOR","Прокрутка к секции",IF(G41="EXT","Внешняя ссылка",IF(G41="PARENT","Вернуться туда, откуда открыто",IFERROR(INDEX(Реестр!$C:$C,MATCH(G41,Реестр!$A:$A,0)),"⚠ нет в реестре"))))</f>
        <v>Вход клиента (номер телефона)</v>
      </c>
      <c r="I41" s="5" t="s">
        <v>314</v>
      </c>
      <c r="J41" s="10" t="s">
        <v>297</v>
      </c>
    </row>
    <row r="42" customFormat="false" ht="15" hidden="false" customHeight="false" outlineLevel="0" collapsed="false">
      <c r="A42" s="5" t="s">
        <v>499</v>
      </c>
      <c r="B42" s="5" t="s">
        <v>34</v>
      </c>
      <c r="C42" s="5" t="s">
        <v>91</v>
      </c>
      <c r="D42" s="11" t="str">
        <f aca="false">IFERROR(INDEX(Реестр!$C:$C,MATCH(C42,Реестр!$A:$A,0)),"⚠ нет в реестре")</f>
        <v>Шаг 4. Подтверждение</v>
      </c>
      <c r="E42" s="5" t="s">
        <v>500</v>
      </c>
      <c r="F42" s="5" t="s">
        <v>311</v>
      </c>
      <c r="G42" s="5" t="s">
        <v>93</v>
      </c>
      <c r="H42" s="11" t="str">
        <f aca="false">IF(G42="ANCHOR","Прокрутка к секции",IF(G42="EXT","Внешняя ссылка",IF(G42="PARENT","Вернуться туда, откуда открыто",IFERROR(INDEX(Реестр!$C:$C,MATCH(G42,Реестр!$A:$A,0)),"⚠ нет в реестре"))))</f>
        <v>Успех</v>
      </c>
      <c r="I42" s="5"/>
      <c r="J42" s="10" t="s">
        <v>297</v>
      </c>
    </row>
    <row r="43" customFormat="false" ht="15" hidden="false" customHeight="false" outlineLevel="0" collapsed="false">
      <c r="A43" s="5" t="s">
        <v>501</v>
      </c>
      <c r="B43" s="5" t="s">
        <v>34</v>
      </c>
      <c r="C43" s="5" t="s">
        <v>91</v>
      </c>
      <c r="D43" s="11" t="str">
        <f aca="false">IFERROR(INDEX(Реестр!$C:$C,MATCH(C43,Реестр!$A:$A,0)),"⚠ нет в реестре")</f>
        <v>Шаг 4. Подтверждение</v>
      </c>
      <c r="E43" s="5" t="s">
        <v>502</v>
      </c>
      <c r="F43" s="5" t="s">
        <v>311</v>
      </c>
      <c r="G43" s="5" t="s">
        <v>96</v>
      </c>
      <c r="H43" s="11" t="str">
        <f aca="false">IF(G43="ANCHOR","Прокрутка к секции",IF(G43="EXT","Внешняя ссылка",IF(G43="PARENT","Вернуться туда, откуда открыто",IFERROR(INDEX(Реестр!$C:$C,MATCH(G43,Реестр!$A:$A,0)),"⚠ нет в реестре"))))</f>
        <v>Ошибка</v>
      </c>
      <c r="I43" s="5" t="s">
        <v>448</v>
      </c>
      <c r="J43" s="10" t="s">
        <v>297</v>
      </c>
    </row>
    <row r="44" customFormat="false" ht="23.85" hidden="false" customHeight="false" outlineLevel="0" collapsed="false">
      <c r="A44" s="5" t="s">
        <v>503</v>
      </c>
      <c r="B44" s="5" t="s">
        <v>34</v>
      </c>
      <c r="C44" s="5" t="s">
        <v>91</v>
      </c>
      <c r="D44" s="11" t="str">
        <f aca="false">IFERROR(INDEX(Реестр!$C:$C,MATCH(C44,Реестр!$A:$A,0)),"⚠ нет в реестре")</f>
        <v>Шаг 4. Подтверждение</v>
      </c>
      <c r="E44" s="5" t="s">
        <v>504</v>
      </c>
      <c r="F44" s="5" t="s">
        <v>311</v>
      </c>
      <c r="G44" s="5" t="s">
        <v>82</v>
      </c>
      <c r="H44" s="11" t="str">
        <f aca="false">IF(G44="ANCHOR","Прокрутка к секции",IF(G44="EXT","Внешняя ссылка",IF(G44="PARENT","Вернуться туда, откуда открыто",IFERROR(INDEX(Реестр!$C:$C,MATCH(G44,Реестр!$A:$A,0)),"⚠ нет в реестре"))))</f>
        <v>Шаг 1. Услуги (мультивыбор, корзина визита)</v>
      </c>
      <c r="I44" s="5"/>
      <c r="J44" s="10" t="s">
        <v>297</v>
      </c>
    </row>
    <row r="45" customFormat="false" ht="15" hidden="false" customHeight="false" outlineLevel="0" collapsed="false">
      <c r="A45" s="5" t="s">
        <v>505</v>
      </c>
      <c r="B45" s="5" t="s">
        <v>34</v>
      </c>
      <c r="C45" s="5" t="s">
        <v>91</v>
      </c>
      <c r="D45" s="11" t="str">
        <f aca="false">IFERROR(INDEX(Реестр!$C:$C,MATCH(C45,Реестр!$A:$A,0)),"⚠ нет в реестре")</f>
        <v>Шаг 4. Подтверждение</v>
      </c>
      <c r="E45" s="5" t="s">
        <v>506</v>
      </c>
      <c r="F45" s="5" t="s">
        <v>311</v>
      </c>
      <c r="G45" s="5" t="s">
        <v>86</v>
      </c>
      <c r="H45" s="11" t="str">
        <f aca="false">IF(G45="ANCHOR","Прокрутка к секции",IF(G45="EXT","Внешняя ссылка",IF(G45="PARENT","Вернуться туда, откуда открыто",IFERROR(INDEX(Реестр!$C:$C,MATCH(G45,Реестр!$A:$A,0)),"⚠ нет в реестре"))))</f>
        <v>Шаг 2. Мастер</v>
      </c>
      <c r="I45" s="5"/>
      <c r="J45" s="10" t="s">
        <v>297</v>
      </c>
    </row>
    <row r="46" customFormat="false" ht="15" hidden="false" customHeight="false" outlineLevel="0" collapsed="false">
      <c r="A46" s="5" t="s">
        <v>507</v>
      </c>
      <c r="B46" s="5" t="s">
        <v>34</v>
      </c>
      <c r="C46" s="5" t="s">
        <v>91</v>
      </c>
      <c r="D46" s="11" t="str">
        <f aca="false">IFERROR(INDEX(Реестр!$C:$C,MATCH(C46,Реестр!$A:$A,0)),"⚠ нет в реестре")</f>
        <v>Шаг 4. Подтверждение</v>
      </c>
      <c r="E46" s="5" t="s">
        <v>508</v>
      </c>
      <c r="F46" s="5" t="s">
        <v>311</v>
      </c>
      <c r="G46" s="5" t="s">
        <v>88</v>
      </c>
      <c r="H46" s="11" t="str">
        <f aca="false">IF(G46="ANCHOR","Прокрутка к секции",IF(G46="EXT","Внешняя ссылка",IF(G46="PARENT","Вернуться туда, откуда открыто",IFERROR(INDEX(Реестр!$C:$C,MATCH(G46,Реестр!$A:$A,0)),"⚠ нет в реестре"))))</f>
        <v>Шаг 3. Время</v>
      </c>
      <c r="I46" s="5"/>
      <c r="J46" s="10" t="s">
        <v>297</v>
      </c>
    </row>
    <row r="47" customFormat="false" ht="15" hidden="false" customHeight="false" outlineLevel="0" collapsed="false">
      <c r="A47" s="5" t="s">
        <v>509</v>
      </c>
      <c r="B47" s="5" t="s">
        <v>34</v>
      </c>
      <c r="C47" s="5" t="s">
        <v>91</v>
      </c>
      <c r="D47" s="11" t="str">
        <f aca="false">IFERROR(INDEX(Реестр!$C:$C,MATCH(C47,Реестр!$A:$A,0)),"⚠ нет в реестре")</f>
        <v>Шаг 4. Подтверждение</v>
      </c>
      <c r="E47" s="5" t="s">
        <v>479</v>
      </c>
      <c r="F47" s="5" t="s">
        <v>428</v>
      </c>
      <c r="G47" s="5" t="s">
        <v>88</v>
      </c>
      <c r="H47" s="11" t="str">
        <f aca="false">IF(G47="ANCHOR","Прокрутка к секции",IF(G47="EXT","Внешняя ссылка",IF(G47="PARENT","Вернуться туда, откуда открыто",IFERROR(INDEX(Реестр!$C:$C,MATCH(G47,Реестр!$A:$A,0)),"⚠ нет в реестре"))))</f>
        <v>Шаг 3. Время</v>
      </c>
      <c r="I47" s="5"/>
      <c r="J47" s="10" t="s">
        <v>297</v>
      </c>
    </row>
    <row r="48" customFormat="false" ht="15" hidden="false" customHeight="false" outlineLevel="0" collapsed="false">
      <c r="A48" s="5" t="s">
        <v>510</v>
      </c>
      <c r="B48" s="5" t="s">
        <v>34</v>
      </c>
      <c r="C48" s="5" t="s">
        <v>93</v>
      </c>
      <c r="D48" s="11" t="str">
        <f aca="false">IFERROR(INDEX(Реестр!$C:$C,MATCH(C48,Реестр!$A:$A,0)),"⚠ нет в реестре")</f>
        <v>Успех</v>
      </c>
      <c r="E48" s="5" t="s">
        <v>511</v>
      </c>
      <c r="F48" s="5" t="s">
        <v>311</v>
      </c>
      <c r="G48" s="5" t="s">
        <v>105</v>
      </c>
      <c r="H48" s="11" t="str">
        <f aca="false">IF(G48="ANCHOR","Прокрутка к секции",IF(G48="EXT","Внешняя ссылка",IF(G48="PARENT","Вернуться туда, откуда открыто",IFERROR(INDEX(Реестр!$C:$C,MATCH(G48,Реестр!$A:$A,0)),"⚠ нет в реестре"))))</f>
        <v>Мои записи</v>
      </c>
      <c r="I48" s="5"/>
      <c r="J48" s="10" t="s">
        <v>297</v>
      </c>
    </row>
    <row r="49" customFormat="false" ht="46.25" hidden="false" customHeight="false" outlineLevel="0" collapsed="false">
      <c r="A49" s="5" t="s">
        <v>512</v>
      </c>
      <c r="B49" s="5" t="s">
        <v>34</v>
      </c>
      <c r="C49" s="5" t="s">
        <v>93</v>
      </c>
      <c r="D49" s="11" t="str">
        <f aca="false">IFERROR(INDEX(Реестр!$C:$C,MATCH(C49,Реестр!$A:$A,0)),"⚠ нет в реестре")</f>
        <v>Успех</v>
      </c>
      <c r="E49" s="5" t="s">
        <v>513</v>
      </c>
      <c r="F49" s="5" t="s">
        <v>311</v>
      </c>
      <c r="G49" s="5" t="s">
        <v>55</v>
      </c>
      <c r="H49" s="11" t="str">
        <f aca="false">IF(G49="ANCHOR","Прокрутка к секции",IF(G49="EXT","Внешняя ссылка",IF(G49="PARENT","Вернуться туда, откуда открыто",IFERROR(INDEX(Реестр!$C:$C,MATCH(G49,Реестр!$A:$A,0)),"⚠ нет в реестре"))))</f>
        <v>Лендинг (секции: Услуги, Как это работает, Мастера, Работы, Контакты, Отзывы, Призыв записаться)</v>
      </c>
      <c r="I49" s="5"/>
      <c r="J49" s="10" t="s">
        <v>297</v>
      </c>
    </row>
    <row r="50" customFormat="false" ht="15" hidden="false" customHeight="false" outlineLevel="0" collapsed="false">
      <c r="A50" s="5" t="s">
        <v>514</v>
      </c>
      <c r="B50" s="5" t="s">
        <v>34</v>
      </c>
      <c r="C50" s="5" t="s">
        <v>96</v>
      </c>
      <c r="D50" s="11" t="str">
        <f aca="false">IFERROR(INDEX(Реестр!$C:$C,MATCH(C50,Реестр!$A:$A,0)),"⚠ нет в реестре")</f>
        <v>Ошибка</v>
      </c>
      <c r="E50" s="5" t="s">
        <v>515</v>
      </c>
      <c r="F50" s="5" t="s">
        <v>428</v>
      </c>
      <c r="G50" s="5" t="s">
        <v>91</v>
      </c>
      <c r="H50" s="11" t="str">
        <f aca="false">IF(G50="ANCHOR","Прокрутка к секции",IF(G50="EXT","Внешняя ссылка",IF(G50="PARENT","Вернуться туда, откуда открыто",IFERROR(INDEX(Реестр!$C:$C,MATCH(G50,Реестр!$A:$A,0)),"⚠ нет в реестре"))))</f>
        <v>Шаг 4. Подтверждение</v>
      </c>
      <c r="I50" s="5"/>
      <c r="J50" s="10" t="s">
        <v>297</v>
      </c>
    </row>
    <row r="51" customFormat="false" ht="46.25" hidden="false" customHeight="false" outlineLevel="0" collapsed="false">
      <c r="A51" s="5" t="s">
        <v>516</v>
      </c>
      <c r="B51" s="5" t="s">
        <v>34</v>
      </c>
      <c r="C51" s="5" t="s">
        <v>96</v>
      </c>
      <c r="D51" s="11" t="str">
        <f aca="false">IFERROR(INDEX(Реестр!$C:$C,MATCH(C51,Реестр!$A:$A,0)),"⚠ нет в реестре")</f>
        <v>Ошибка</v>
      </c>
      <c r="E51" s="5" t="s">
        <v>513</v>
      </c>
      <c r="F51" s="5" t="s">
        <v>311</v>
      </c>
      <c r="G51" s="5" t="s">
        <v>55</v>
      </c>
      <c r="H51" s="11" t="str">
        <f aca="false">IF(G51="ANCHOR","Прокрутка к секции",IF(G51="EXT","Внешняя ссылка",IF(G51="PARENT","Вернуться туда, откуда открыто",IFERROR(INDEX(Реестр!$C:$C,MATCH(G51,Реестр!$A:$A,0)),"⚠ нет в реестре"))))</f>
        <v>Лендинг (секции: Услуги, Как это работает, Мастера, Работы, Контакты, Отзывы, Призыв записаться)</v>
      </c>
      <c r="I51" s="5"/>
      <c r="J51" s="10" t="s">
        <v>297</v>
      </c>
    </row>
    <row r="52" customFormat="false" ht="15" hidden="false" customHeight="false" outlineLevel="0" collapsed="false">
      <c r="A52" s="5" t="s">
        <v>517</v>
      </c>
      <c r="B52" s="5" t="s">
        <v>35</v>
      </c>
      <c r="C52" s="5" t="s">
        <v>105</v>
      </c>
      <c r="D52" s="11" t="str">
        <f aca="false">IFERROR(INDEX(Реестр!$C:$C,MATCH(C52,Реестр!$A:$A,0)),"⚠ нет в реестре")</f>
        <v>Мои записи</v>
      </c>
      <c r="E52" s="5" t="s">
        <v>111</v>
      </c>
      <c r="F52" s="5" t="s">
        <v>311</v>
      </c>
      <c r="G52" s="5" t="s">
        <v>110</v>
      </c>
      <c r="H52" s="11" t="str">
        <f aca="false">IF(G52="ANCHOR","Прокрутка к секции",IF(G52="EXT","Внешняя ссылка",IF(G52="PARENT","Вернуться туда, откуда открыто",IFERROR(INDEX(Реестр!$C:$C,MATCH(G52,Реестр!$A:$A,0)),"⚠ нет в реестре"))))</f>
        <v>Карточка записи</v>
      </c>
      <c r="I52" s="5"/>
      <c r="J52" s="10" t="s">
        <v>297</v>
      </c>
    </row>
    <row r="53" customFormat="false" ht="23.85" hidden="false" customHeight="false" outlineLevel="0" collapsed="false">
      <c r="A53" s="5" t="s">
        <v>518</v>
      </c>
      <c r="B53" s="5" t="s">
        <v>35</v>
      </c>
      <c r="C53" s="5" t="s">
        <v>105</v>
      </c>
      <c r="D53" s="11" t="str">
        <f aca="false">IFERROR(INDEX(Реестр!$C:$C,MATCH(C53,Реестр!$A:$A,0)),"⚠ нет в реестре")</f>
        <v>Мои записи</v>
      </c>
      <c r="E53" s="5" t="s">
        <v>519</v>
      </c>
      <c r="F53" s="5" t="s">
        <v>311</v>
      </c>
      <c r="G53" s="5" t="s">
        <v>82</v>
      </c>
      <c r="H53" s="11" t="str">
        <f aca="false">IF(G53="ANCHOR","Прокрутка к секции",IF(G53="EXT","Внешняя ссылка",IF(G53="PARENT","Вернуться туда, откуда открыто",IFERROR(INDEX(Реестр!$C:$C,MATCH(G53,Реестр!$A:$A,0)),"⚠ нет в реестре"))))</f>
        <v>Шаг 1. Услуги (мультивыбор, корзина визита)</v>
      </c>
      <c r="I53" s="5"/>
      <c r="J53" s="10" t="s">
        <v>297</v>
      </c>
    </row>
    <row r="54" customFormat="false" ht="15" hidden="false" customHeight="false" outlineLevel="0" collapsed="false">
      <c r="A54" s="5" t="s">
        <v>520</v>
      </c>
      <c r="B54" s="5" t="s">
        <v>35</v>
      </c>
      <c r="C54" s="5" t="s">
        <v>108</v>
      </c>
      <c r="D54" s="11" t="str">
        <f aca="false">IFERROR(INDEX(Реестр!$C:$C,MATCH(C54,Реестр!$A:$A,0)),"⚠ нет в реестре")</f>
        <v>История</v>
      </c>
      <c r="E54" s="5" t="s">
        <v>521</v>
      </c>
      <c r="F54" s="5" t="s">
        <v>311</v>
      </c>
      <c r="G54" s="5" t="s">
        <v>110</v>
      </c>
      <c r="H54" s="11" t="str">
        <f aca="false">IF(G54="ANCHOR","Прокрутка к секции",IF(G54="EXT","Внешняя ссылка",IF(G54="PARENT","Вернуться туда, откуда открыто",IFERROR(INDEX(Реестр!$C:$C,MATCH(G54,Реестр!$A:$A,0)),"⚠ нет в реестре"))))</f>
        <v>Карточка записи</v>
      </c>
      <c r="I54" s="5"/>
      <c r="J54" s="10" t="s">
        <v>297</v>
      </c>
    </row>
    <row r="55" customFormat="false" ht="15" hidden="false" customHeight="false" outlineLevel="0" collapsed="false">
      <c r="A55" s="5" t="s">
        <v>522</v>
      </c>
      <c r="B55" s="5" t="s">
        <v>35</v>
      </c>
      <c r="C55" s="5" t="s">
        <v>108</v>
      </c>
      <c r="D55" s="11" t="str">
        <f aca="false">IFERROR(INDEX(Реестр!$C:$C,MATCH(C55,Реестр!$A:$A,0)),"⚠ нет в реестре")</f>
        <v>История</v>
      </c>
      <c r="E55" s="5" t="s">
        <v>523</v>
      </c>
      <c r="F55" s="5" t="s">
        <v>100</v>
      </c>
      <c r="G55" s="5" t="s">
        <v>117</v>
      </c>
      <c r="H55" s="11" t="str">
        <f aca="false">IF(G55="ANCHOR","Прокрутка к секции",IF(G55="EXT","Внешняя ссылка",IF(G55="PARENT","Вернуться туда, откуда открыто",IFERROR(INDEX(Реестр!$C:$C,MATCH(G55,Реестр!$A:$A,0)),"⚠ нет в реестре"))))</f>
        <v>Отзыв о визите</v>
      </c>
      <c r="I55" s="5"/>
      <c r="J55" s="10" t="s">
        <v>297</v>
      </c>
    </row>
    <row r="56" customFormat="false" ht="23.85" hidden="false" customHeight="false" outlineLevel="0" collapsed="false">
      <c r="A56" s="5" t="s">
        <v>524</v>
      </c>
      <c r="B56" s="5" t="s">
        <v>35</v>
      </c>
      <c r="C56" s="5" t="s">
        <v>108</v>
      </c>
      <c r="D56" s="11" t="str">
        <f aca="false">IFERROR(INDEX(Реестр!$C:$C,MATCH(C56,Реестр!$A:$A,0)),"⚠ нет в реестре")</f>
        <v>История</v>
      </c>
      <c r="E56" s="5" t="s">
        <v>525</v>
      </c>
      <c r="F56" s="5" t="s">
        <v>311</v>
      </c>
      <c r="G56" s="5" t="s">
        <v>82</v>
      </c>
      <c r="H56" s="11" t="str">
        <f aca="false">IF(G56="ANCHOR","Прокрутка к секции",IF(G56="EXT","Внешняя ссылка",IF(G56="PARENT","Вернуться туда, откуда открыто",IFERROR(INDEX(Реестр!$C:$C,MATCH(G56,Реестр!$A:$A,0)),"⚠ нет в реестре"))))</f>
        <v>Шаг 1. Услуги (мультивыбор, корзина визита)</v>
      </c>
      <c r="I56" s="5" t="s">
        <v>526</v>
      </c>
      <c r="J56" s="10" t="s">
        <v>297</v>
      </c>
    </row>
    <row r="57" customFormat="false" ht="15" hidden="false" customHeight="false" outlineLevel="0" collapsed="false">
      <c r="A57" s="5" t="s">
        <v>527</v>
      </c>
      <c r="B57" s="5" t="s">
        <v>35</v>
      </c>
      <c r="C57" s="5" t="s">
        <v>110</v>
      </c>
      <c r="D57" s="11" t="str">
        <f aca="false">IFERROR(INDEX(Реестр!$C:$C,MATCH(C57,Реестр!$A:$A,0)),"⚠ нет в реестре")</f>
        <v>Карточка записи</v>
      </c>
      <c r="E57" s="5" t="s">
        <v>528</v>
      </c>
      <c r="F57" s="5" t="s">
        <v>311</v>
      </c>
      <c r="G57" s="5" t="s">
        <v>112</v>
      </c>
      <c r="H57" s="11" t="str">
        <f aca="false">IF(G57="ANCHOR","Прокрутка к секции",IF(G57="EXT","Внешняя ссылка",IF(G57="PARENT","Вернуться туда, откуда открыто",IFERROR(INDEX(Реестр!$C:$C,MATCH(G57,Реестр!$A:$A,0)),"⚠ нет в реестре"))))</f>
        <v>Перенос записи</v>
      </c>
      <c r="I57" s="5"/>
      <c r="J57" s="10" t="s">
        <v>297</v>
      </c>
    </row>
    <row r="58" customFormat="false" ht="15" hidden="false" customHeight="false" outlineLevel="0" collapsed="false">
      <c r="A58" s="5" t="s">
        <v>529</v>
      </c>
      <c r="B58" s="5" t="s">
        <v>35</v>
      </c>
      <c r="C58" s="5" t="s">
        <v>110</v>
      </c>
      <c r="D58" s="11" t="str">
        <f aca="false">IFERROR(INDEX(Реестр!$C:$C,MATCH(C58,Реестр!$A:$A,0)),"⚠ нет в реестре")</f>
        <v>Карточка записи</v>
      </c>
      <c r="E58" s="5" t="s">
        <v>530</v>
      </c>
      <c r="F58" s="5" t="s">
        <v>100</v>
      </c>
      <c r="G58" s="5" t="s">
        <v>115</v>
      </c>
      <c r="H58" s="11" t="str">
        <f aca="false">IF(G58="ANCHOR","Прокрутка к секции",IF(G58="EXT","Внешняя ссылка",IF(G58="PARENT","Вернуться туда, откуда открыто",IFERROR(INDEX(Реестр!$C:$C,MATCH(G58,Реестр!$A:$A,0)),"⚠ нет в реестре"))))</f>
        <v>Отмена записи</v>
      </c>
      <c r="I58" s="5"/>
      <c r="J58" s="10" t="s">
        <v>297</v>
      </c>
    </row>
    <row r="59" customFormat="false" ht="15" hidden="false" customHeight="false" outlineLevel="0" collapsed="false">
      <c r="A59" s="5" t="s">
        <v>531</v>
      </c>
      <c r="B59" s="5" t="s">
        <v>35</v>
      </c>
      <c r="C59" s="5" t="s">
        <v>110</v>
      </c>
      <c r="D59" s="11" t="str">
        <f aca="false">IFERROR(INDEX(Реестр!$C:$C,MATCH(C59,Реестр!$A:$A,0)),"⚠ нет в реестре")</f>
        <v>Карточка записи</v>
      </c>
      <c r="E59" s="5" t="s">
        <v>532</v>
      </c>
      <c r="F59" s="5" t="s">
        <v>311</v>
      </c>
      <c r="G59" s="5" t="s">
        <v>61</v>
      </c>
      <c r="H59" s="11" t="str">
        <f aca="false">IF(G59="ANCHOR","Прокрутка к секции",IF(G59="EXT","Внешняя ссылка",IF(G59="PARENT","Вернуться туда, откуда открыто",IFERROR(INDEX(Реестр!$C:$C,MATCH(G59,Реестр!$A:$A,0)),"⚠ нет в реестре"))))</f>
        <v>Профиль мастера (публичный)</v>
      </c>
      <c r="I59" s="5"/>
      <c r="J59" s="10" t="s">
        <v>297</v>
      </c>
    </row>
    <row r="60" customFormat="false" ht="15" hidden="false" customHeight="false" outlineLevel="0" collapsed="false">
      <c r="A60" s="5" t="s">
        <v>533</v>
      </c>
      <c r="B60" s="5" t="s">
        <v>35</v>
      </c>
      <c r="C60" s="5" t="s">
        <v>110</v>
      </c>
      <c r="D60" s="11" t="str">
        <f aca="false">IFERROR(INDEX(Реестр!$C:$C,MATCH(C60,Реестр!$A:$A,0)),"⚠ нет в реестре")</f>
        <v>Карточка записи</v>
      </c>
      <c r="E60" s="5" t="s">
        <v>479</v>
      </c>
      <c r="F60" s="5" t="s">
        <v>428</v>
      </c>
      <c r="G60" s="5" t="s">
        <v>105</v>
      </c>
      <c r="H60" s="11" t="str">
        <f aca="false">IF(G60="ANCHOR","Прокрутка к секции",IF(G60="EXT","Внешняя ссылка",IF(G60="PARENT","Вернуться туда, откуда открыто",IFERROR(INDEX(Реестр!$C:$C,MATCH(G60,Реестр!$A:$A,0)),"⚠ нет в реестре"))))</f>
        <v>Мои записи</v>
      </c>
      <c r="I60" s="5"/>
      <c r="J60" s="10" t="s">
        <v>297</v>
      </c>
    </row>
    <row r="61" customFormat="false" ht="23.85" hidden="false" customHeight="false" outlineLevel="0" collapsed="false">
      <c r="A61" s="5" t="s">
        <v>534</v>
      </c>
      <c r="B61" s="5" t="s">
        <v>35</v>
      </c>
      <c r="C61" s="5" t="s">
        <v>112</v>
      </c>
      <c r="D61" s="11" t="str">
        <f aca="false">IFERROR(INDEX(Реестр!$C:$C,MATCH(C61,Реестр!$A:$A,0)),"⚠ нет в реестре")</f>
        <v>Перенос записи</v>
      </c>
      <c r="E61" s="5" t="s">
        <v>535</v>
      </c>
      <c r="F61" s="5" t="s">
        <v>311</v>
      </c>
      <c r="G61" s="5" t="s">
        <v>110</v>
      </c>
      <c r="H61" s="11" t="str">
        <f aca="false">IF(G61="ANCHOR","Прокрутка к секции",IF(G61="EXT","Внешняя ссылка",IF(G61="PARENT","Вернуться туда, откуда открыто",IFERROR(INDEX(Реестр!$C:$C,MATCH(G61,Реестр!$A:$A,0)),"⚠ нет в реестре"))))</f>
        <v>Карточка записи</v>
      </c>
      <c r="I61" s="5" t="s">
        <v>536</v>
      </c>
      <c r="J61" s="10" t="s">
        <v>297</v>
      </c>
    </row>
    <row r="62" customFormat="false" ht="15" hidden="false" customHeight="false" outlineLevel="0" collapsed="false">
      <c r="A62" s="5" t="s">
        <v>537</v>
      </c>
      <c r="B62" s="5" t="s">
        <v>35</v>
      </c>
      <c r="C62" s="5" t="s">
        <v>112</v>
      </c>
      <c r="D62" s="11" t="str">
        <f aca="false">IFERROR(INDEX(Реестр!$C:$C,MATCH(C62,Реестр!$A:$A,0)),"⚠ нет в реестре")</f>
        <v>Перенос записи</v>
      </c>
      <c r="E62" s="5" t="s">
        <v>538</v>
      </c>
      <c r="F62" s="5" t="s">
        <v>428</v>
      </c>
      <c r="G62" s="5" t="s">
        <v>110</v>
      </c>
      <c r="H62" s="11" t="str">
        <f aca="false">IF(G62="ANCHOR","Прокрутка к секции",IF(G62="EXT","Внешняя ссылка",IF(G62="PARENT","Вернуться туда, откуда открыто",IFERROR(INDEX(Реестр!$C:$C,MATCH(G62,Реестр!$A:$A,0)),"⚠ нет в реестре"))))</f>
        <v>Карточка записи</v>
      </c>
      <c r="I62" s="5"/>
      <c r="J62" s="10" t="s">
        <v>297</v>
      </c>
    </row>
    <row r="63" customFormat="false" ht="15" hidden="false" customHeight="false" outlineLevel="0" collapsed="false">
      <c r="A63" s="5" t="s">
        <v>539</v>
      </c>
      <c r="B63" s="5" t="s">
        <v>35</v>
      </c>
      <c r="C63" s="5" t="s">
        <v>115</v>
      </c>
      <c r="D63" s="11" t="str">
        <f aca="false">IFERROR(INDEX(Реестр!$C:$C,MATCH(C63,Реестр!$A:$A,0)),"⚠ нет в реестре")</f>
        <v>Отмена записи</v>
      </c>
      <c r="E63" s="5" t="s">
        <v>540</v>
      </c>
      <c r="F63" s="5" t="s">
        <v>311</v>
      </c>
      <c r="G63" s="5" t="s">
        <v>105</v>
      </c>
      <c r="H63" s="11" t="str">
        <f aca="false">IF(G63="ANCHOR","Прокрутка к секции",IF(G63="EXT","Внешняя ссылка",IF(G63="PARENT","Вернуться туда, откуда открыто",IFERROR(INDEX(Реестр!$C:$C,MATCH(G63,Реестр!$A:$A,0)),"⚠ нет в реестре"))))</f>
        <v>Мои записи</v>
      </c>
      <c r="I63" s="5"/>
      <c r="J63" s="10" t="s">
        <v>297</v>
      </c>
    </row>
    <row r="64" customFormat="false" ht="15" hidden="false" customHeight="false" outlineLevel="0" collapsed="false">
      <c r="A64" s="5" t="s">
        <v>541</v>
      </c>
      <c r="B64" s="5" t="s">
        <v>35</v>
      </c>
      <c r="C64" s="5" t="s">
        <v>115</v>
      </c>
      <c r="D64" s="11" t="str">
        <f aca="false">IFERROR(INDEX(Реестр!$C:$C,MATCH(C64,Реестр!$A:$A,0)),"⚠ нет в реестре")</f>
        <v>Отмена записи</v>
      </c>
      <c r="E64" s="5" t="s">
        <v>542</v>
      </c>
      <c r="F64" s="5" t="s">
        <v>492</v>
      </c>
      <c r="G64" s="5" t="s">
        <v>110</v>
      </c>
      <c r="H64" s="11" t="str">
        <f aca="false">IF(G64="ANCHOR","Прокрутка к секции",IF(G64="EXT","Внешняя ссылка",IF(G64="PARENT","Вернуться туда, откуда открыто",IFERROR(INDEX(Реестр!$C:$C,MATCH(G64,Реестр!$A:$A,0)),"⚠ нет в реестре"))))</f>
        <v>Карточка записи</v>
      </c>
      <c r="I64" s="5"/>
      <c r="J64" s="10" t="s">
        <v>297</v>
      </c>
    </row>
    <row r="65" customFormat="false" ht="15" hidden="false" customHeight="false" outlineLevel="0" collapsed="false">
      <c r="A65" s="5" t="s">
        <v>543</v>
      </c>
      <c r="B65" s="5" t="s">
        <v>35</v>
      </c>
      <c r="C65" s="5" t="s">
        <v>117</v>
      </c>
      <c r="D65" s="11" t="str">
        <f aca="false">IFERROR(INDEX(Реестр!$C:$C,MATCH(C65,Реестр!$A:$A,0)),"⚠ нет в реестре")</f>
        <v>Отзыв о визите</v>
      </c>
      <c r="E65" s="5" t="s">
        <v>460</v>
      </c>
      <c r="F65" s="5" t="s">
        <v>492</v>
      </c>
      <c r="G65" s="5" t="s">
        <v>108</v>
      </c>
      <c r="H65" s="11" t="str">
        <f aca="false">IF(G65="ANCHOR","Прокрутка к секции",IF(G65="EXT","Внешняя ссылка",IF(G65="PARENT","Вернуться туда, откуда открыто",IFERROR(INDEX(Реестр!$C:$C,MATCH(G65,Реестр!$A:$A,0)),"⚠ нет в реестре"))))</f>
        <v>История</v>
      </c>
      <c r="I65" s="5"/>
      <c r="J65" s="10" t="s">
        <v>297</v>
      </c>
    </row>
    <row r="66" customFormat="false" ht="15" hidden="false" customHeight="false" outlineLevel="0" collapsed="false">
      <c r="A66" s="5" t="s">
        <v>544</v>
      </c>
      <c r="B66" s="5" t="s">
        <v>35</v>
      </c>
      <c r="C66" s="5" t="s">
        <v>117</v>
      </c>
      <c r="D66" s="11" t="str">
        <f aca="false">IFERROR(INDEX(Реестр!$C:$C,MATCH(C66,Реестр!$A:$A,0)),"⚠ нет в реестре")</f>
        <v>Отзыв о визите</v>
      </c>
      <c r="E66" s="5" t="s">
        <v>545</v>
      </c>
      <c r="F66" s="5" t="s">
        <v>492</v>
      </c>
      <c r="G66" s="5" t="s">
        <v>108</v>
      </c>
      <c r="H66" s="11" t="str">
        <f aca="false">IF(G66="ANCHOR","Прокрутка к секции",IF(G66="EXT","Внешняя ссылка",IF(G66="PARENT","Вернуться туда, откуда открыто",IFERROR(INDEX(Реестр!$C:$C,MATCH(G66,Реестр!$A:$A,0)),"⚠ нет в реестре"))))</f>
        <v>История</v>
      </c>
      <c r="I66" s="5"/>
      <c r="J66" s="10" t="s">
        <v>297</v>
      </c>
    </row>
    <row r="67" customFormat="false" ht="46.25" hidden="false" customHeight="false" outlineLevel="0" collapsed="false">
      <c r="A67" s="5" t="s">
        <v>546</v>
      </c>
      <c r="B67" s="5" t="s">
        <v>35</v>
      </c>
      <c r="C67" s="5" t="s">
        <v>120</v>
      </c>
      <c r="D67" s="11" t="str">
        <f aca="false">IFERROR(INDEX(Реестр!$C:$C,MATCH(C67,Реестр!$A:$A,0)),"⚠ нет в реестре")</f>
        <v>Профиль</v>
      </c>
      <c r="E67" s="5" t="s">
        <v>547</v>
      </c>
      <c r="F67" s="5" t="s">
        <v>311</v>
      </c>
      <c r="G67" s="5" t="s">
        <v>55</v>
      </c>
      <c r="H67" s="11" t="str">
        <f aca="false">IF(G67="ANCHOR","Прокрутка к секции",IF(G67="EXT","Внешняя ссылка",IF(G67="PARENT","Вернуться туда, откуда открыто",IFERROR(INDEX(Реестр!$C:$C,MATCH(G67,Реестр!$A:$A,0)),"⚠ нет в реестре"))))</f>
        <v>Лендинг (секции: Услуги, Как это работает, Мастера, Работы, Контакты, Отзывы, Призыв записаться)</v>
      </c>
      <c r="I67" s="5"/>
      <c r="J67" s="10" t="s">
        <v>297</v>
      </c>
    </row>
    <row r="68" customFormat="false" ht="15" hidden="false" customHeight="false" outlineLevel="0" collapsed="false">
      <c r="A68" s="5" t="s">
        <v>548</v>
      </c>
      <c r="B68" s="5" t="s">
        <v>35</v>
      </c>
      <c r="C68" s="5" t="s">
        <v>125</v>
      </c>
      <c r="D68" s="11" t="str">
        <f aca="false">IFERROR(INDEX(Реестр!$C:$C,MATCH(C68,Реестр!$A:$A,0)),"⚠ нет в реестре")</f>
        <v>Избранные мастера</v>
      </c>
      <c r="E68" s="5" t="s">
        <v>549</v>
      </c>
      <c r="F68" s="5" t="s">
        <v>311</v>
      </c>
      <c r="G68" s="5" t="s">
        <v>61</v>
      </c>
      <c r="H68" s="11" t="str">
        <f aca="false">IF(G68="ANCHOR","Прокрутка к секции",IF(G68="EXT","Внешняя ссылка",IF(G68="PARENT","Вернуться туда, откуда открыто",IFERROR(INDEX(Реестр!$C:$C,MATCH(G68,Реестр!$A:$A,0)),"⚠ нет в реестре"))))</f>
        <v>Профиль мастера (публичный)</v>
      </c>
      <c r="I68" s="5"/>
      <c r="J68" s="10" t="s">
        <v>297</v>
      </c>
    </row>
    <row r="69" customFormat="false" ht="23.85" hidden="false" customHeight="false" outlineLevel="0" collapsed="false">
      <c r="A69" s="5" t="s">
        <v>550</v>
      </c>
      <c r="B69" s="5" t="s">
        <v>35</v>
      </c>
      <c r="C69" s="5" t="s">
        <v>125</v>
      </c>
      <c r="D69" s="11" t="str">
        <f aca="false">IFERROR(INDEX(Реестр!$C:$C,MATCH(C69,Реестр!$A:$A,0)),"⚠ нет в реестре")</f>
        <v>Избранные мастера</v>
      </c>
      <c r="E69" s="5" t="s">
        <v>551</v>
      </c>
      <c r="F69" s="5" t="s">
        <v>311</v>
      </c>
      <c r="G69" s="5" t="s">
        <v>82</v>
      </c>
      <c r="H69" s="11" t="str">
        <f aca="false">IF(G69="ANCHOR","Прокрутка к секции",IF(G69="EXT","Внешняя ссылка",IF(G69="PARENT","Вернуться туда, откуда открыто",IFERROR(INDEX(Реестр!$C:$C,MATCH(G69,Реестр!$A:$A,0)),"⚠ нет в реестре"))))</f>
        <v>Шаг 1. Услуги (мультивыбор, корзина визита)</v>
      </c>
      <c r="I69" s="5" t="s">
        <v>552</v>
      </c>
      <c r="J69" s="10" t="s">
        <v>297</v>
      </c>
    </row>
    <row r="70" customFormat="false" ht="23.85" hidden="false" customHeight="false" outlineLevel="0" collapsed="false">
      <c r="A70" s="5" t="s">
        <v>553</v>
      </c>
      <c r="B70" s="5" t="s">
        <v>36</v>
      </c>
      <c r="C70" s="5" t="s">
        <v>127</v>
      </c>
      <c r="D70" s="11" t="str">
        <f aca="false">IFERROR(INDEX(Реестр!$C:$C,MATCH(C70,Реестр!$A:$A,0)),"⚠ нет в реестре")</f>
        <v>Сегодня</v>
      </c>
      <c r="E70" s="5" t="s">
        <v>554</v>
      </c>
      <c r="F70" s="5" t="s">
        <v>311</v>
      </c>
      <c r="G70" s="5" t="s">
        <v>132</v>
      </c>
      <c r="H70" s="11" t="str">
        <f aca="false">IF(G70="ANCHOR","Прокрутка к секции",IF(G70="EXT","Внешняя ссылка",IF(G70="PARENT","Вернуться туда, откуда открыто",IFERROR(INDEX(Реестр!$C:$C,MATCH(G70,Реестр!$A:$A,0)),"⚠ нет в реестре"))))</f>
        <v>Карточка записи — ожидает подтверждения</v>
      </c>
      <c r="I70" s="5"/>
      <c r="J70" s="10" t="s">
        <v>297</v>
      </c>
    </row>
    <row r="71" customFormat="false" ht="15" hidden="false" customHeight="false" outlineLevel="0" collapsed="false">
      <c r="A71" s="5" t="s">
        <v>555</v>
      </c>
      <c r="B71" s="5" t="s">
        <v>36</v>
      </c>
      <c r="C71" s="5" t="s">
        <v>127</v>
      </c>
      <c r="D71" s="11" t="str">
        <f aca="false">IFERROR(INDEX(Реестр!$C:$C,MATCH(C71,Реестр!$A:$A,0)),"⚠ нет в реестре")</f>
        <v>Сегодня</v>
      </c>
      <c r="E71" s="5" t="s">
        <v>556</v>
      </c>
      <c r="F71" s="5" t="s">
        <v>311</v>
      </c>
      <c r="G71" s="5" t="s">
        <v>134</v>
      </c>
      <c r="H71" s="11" t="str">
        <f aca="false">IF(G71="ANCHOR","Прокрутка к секции",IF(G71="EXT","Внешняя ссылка",IF(G71="PARENT","Вернуться туда, откуда открыто",IFERROR(INDEX(Реестр!$C:$C,MATCH(G71,Реестр!$A:$A,0)),"⚠ нет в реестре"))))</f>
        <v>Карточка записи — подтверждена</v>
      </c>
      <c r="I71" s="5"/>
      <c r="J71" s="10" t="s">
        <v>297</v>
      </c>
    </row>
    <row r="72" customFormat="false" ht="15" hidden="false" customHeight="false" outlineLevel="0" collapsed="false">
      <c r="A72" s="5" t="s">
        <v>557</v>
      </c>
      <c r="B72" s="5" t="s">
        <v>36</v>
      </c>
      <c r="C72" s="5" t="s">
        <v>127</v>
      </c>
      <c r="D72" s="11" t="str">
        <f aca="false">IFERROR(INDEX(Реестр!$C:$C,MATCH(C72,Реестр!$A:$A,0)),"⚠ нет в реестре")</f>
        <v>Сегодня</v>
      </c>
      <c r="E72" s="5" t="s">
        <v>558</v>
      </c>
      <c r="F72" s="5" t="s">
        <v>311</v>
      </c>
      <c r="G72" s="5" t="s">
        <v>136</v>
      </c>
      <c r="H72" s="11" t="str">
        <f aca="false">IF(G72="ANCHOR","Прокрутка к секции",IF(G72="EXT","Внешняя ссылка",IF(G72="PARENT","Вернуться туда, откуда открыто",IFERROR(INDEX(Реестр!$C:$C,MATCH(G72,Реестр!$A:$A,0)),"⚠ нет в реестре"))))</f>
        <v>Карточка записи — в работе</v>
      </c>
      <c r="I72" s="5"/>
      <c r="J72" s="10" t="s">
        <v>297</v>
      </c>
    </row>
    <row r="73" customFormat="false" ht="15" hidden="false" customHeight="false" outlineLevel="0" collapsed="false">
      <c r="A73" s="5" t="s">
        <v>559</v>
      </c>
      <c r="B73" s="5" t="s">
        <v>36</v>
      </c>
      <c r="C73" s="5" t="s">
        <v>127</v>
      </c>
      <c r="D73" s="11" t="str">
        <f aca="false">IFERROR(INDEX(Реестр!$C:$C,MATCH(C73,Реестр!$A:$A,0)),"⚠ нет в реестре")</f>
        <v>Сегодня</v>
      </c>
      <c r="E73" s="5" t="s">
        <v>560</v>
      </c>
      <c r="F73" s="5" t="s">
        <v>311</v>
      </c>
      <c r="G73" s="5" t="s">
        <v>138</v>
      </c>
      <c r="H73" s="11" t="str">
        <f aca="false">IF(G73="ANCHOR","Прокрутка к секции",IF(G73="EXT","Внешняя ссылка",IF(G73="PARENT","Вернуться туда, откуда открыто",IFERROR(INDEX(Реестр!$C:$C,MATCH(G73,Реестр!$A:$A,0)),"⚠ нет в реестре"))))</f>
        <v>Карточка записи — завершена</v>
      </c>
      <c r="I73" s="5"/>
      <c r="J73" s="10" t="s">
        <v>297</v>
      </c>
    </row>
    <row r="74" customFormat="false" ht="23.85" hidden="false" customHeight="false" outlineLevel="0" collapsed="false">
      <c r="A74" s="5" t="s">
        <v>561</v>
      </c>
      <c r="B74" s="5" t="s">
        <v>36</v>
      </c>
      <c r="C74" s="5" t="s">
        <v>132</v>
      </c>
      <c r="D74" s="11" t="str">
        <f aca="false">IFERROR(INDEX(Реестр!$C:$C,MATCH(C74,Реестр!$A:$A,0)),"⚠ нет в реестре")</f>
        <v>Карточка записи — ожидает подтверждения</v>
      </c>
      <c r="E74" s="5" t="s">
        <v>456</v>
      </c>
      <c r="F74" s="5" t="s">
        <v>311</v>
      </c>
      <c r="G74" s="5" t="s">
        <v>134</v>
      </c>
      <c r="H74" s="11" t="str">
        <f aca="false">IF(G74="ANCHOR","Прокрутка к секции",IF(G74="EXT","Внешняя ссылка",IF(G74="PARENT","Вернуться туда, откуда открыто",IFERROR(INDEX(Реестр!$C:$C,MATCH(G74,Реестр!$A:$A,0)),"⚠ нет в реестре"))))</f>
        <v>Карточка записи — подтверждена</v>
      </c>
      <c r="I74" s="5"/>
      <c r="J74" s="10" t="s">
        <v>297</v>
      </c>
    </row>
    <row r="75" customFormat="false" ht="23.85" hidden="false" customHeight="false" outlineLevel="0" collapsed="false">
      <c r="A75" s="5" t="s">
        <v>562</v>
      </c>
      <c r="B75" s="5" t="s">
        <v>36</v>
      </c>
      <c r="C75" s="5" t="s">
        <v>132</v>
      </c>
      <c r="D75" s="11" t="str">
        <f aca="false">IFERROR(INDEX(Реестр!$C:$C,MATCH(C75,Реестр!$A:$A,0)),"⚠ нет в реестре")</f>
        <v>Карточка записи — ожидает подтверждения</v>
      </c>
      <c r="E75" s="5" t="s">
        <v>563</v>
      </c>
      <c r="F75" s="5" t="s">
        <v>149</v>
      </c>
      <c r="G75" s="5" t="s">
        <v>164</v>
      </c>
      <c r="H75" s="11" t="str">
        <f aca="false">IF(G75="ANCHOR","Прокрутка к секции",IF(G75="EXT","Внешняя ссылка",IF(G75="PARENT","Вернуться туда, откуда открыто",IFERROR(INDEX(Реестр!$C:$C,MATCH(G75,Реестр!$A:$A,0)),"⚠ нет в реестре"))))</f>
        <v>Предложить перенос</v>
      </c>
      <c r="I75" s="5"/>
      <c r="J75" s="10" t="s">
        <v>297</v>
      </c>
    </row>
    <row r="76" customFormat="false" ht="23.85" hidden="false" customHeight="false" outlineLevel="0" collapsed="false">
      <c r="A76" s="5" t="s">
        <v>564</v>
      </c>
      <c r="B76" s="5" t="s">
        <v>36</v>
      </c>
      <c r="C76" s="5" t="s">
        <v>132</v>
      </c>
      <c r="D76" s="11" t="str">
        <f aca="false">IFERROR(INDEX(Реестр!$C:$C,MATCH(C76,Реестр!$A:$A,0)),"⚠ нет в реестре")</f>
        <v>Карточка записи — ожидает подтверждения</v>
      </c>
      <c r="E76" s="5" t="s">
        <v>565</v>
      </c>
      <c r="F76" s="5" t="s">
        <v>311</v>
      </c>
      <c r="G76" s="5" t="s">
        <v>152</v>
      </c>
      <c r="H76" s="11" t="str">
        <f aca="false">IF(G76="ANCHOR","Прокрутка к секции",IF(G76="EXT","Внешняя ссылка",IF(G76="PARENT","Вернуться туда, откуда открыто",IFERROR(INDEX(Реестр!$C:$C,MATCH(G76,Реестр!$A:$A,0)),"⚠ нет в реестре"))))</f>
        <v>Карточка клиента (ограниченная)</v>
      </c>
      <c r="I76" s="5"/>
      <c r="J76" s="10" t="s">
        <v>297</v>
      </c>
    </row>
    <row r="77" customFormat="false" ht="23.85" hidden="false" customHeight="false" outlineLevel="0" collapsed="false">
      <c r="A77" s="5" t="s">
        <v>566</v>
      </c>
      <c r="B77" s="5" t="s">
        <v>36</v>
      </c>
      <c r="C77" s="5" t="s">
        <v>132</v>
      </c>
      <c r="D77" s="11" t="str">
        <f aca="false">IFERROR(INDEX(Реестр!$C:$C,MATCH(C77,Реестр!$A:$A,0)),"⚠ нет в реестре")</f>
        <v>Карточка записи — ожидает подтверждения</v>
      </c>
      <c r="E77" s="5" t="s">
        <v>479</v>
      </c>
      <c r="F77" s="5" t="s">
        <v>428</v>
      </c>
      <c r="G77" s="5" t="s">
        <v>127</v>
      </c>
      <c r="H77" s="11" t="str">
        <f aca="false">IF(G77="ANCHOR","Прокрутка к секции",IF(G77="EXT","Внешняя ссылка",IF(G77="PARENT","Вернуться туда, откуда открыто",IFERROR(INDEX(Реестр!$C:$C,MATCH(G77,Реестр!$A:$A,0)),"⚠ нет в реестре"))))</f>
        <v>Сегодня</v>
      </c>
      <c r="I77" s="5"/>
      <c r="J77" s="10" t="s">
        <v>297</v>
      </c>
    </row>
    <row r="78" customFormat="false" ht="15" hidden="false" customHeight="false" outlineLevel="0" collapsed="false">
      <c r="A78" s="5" t="s">
        <v>567</v>
      </c>
      <c r="B78" s="5" t="s">
        <v>36</v>
      </c>
      <c r="C78" s="5" t="s">
        <v>134</v>
      </c>
      <c r="D78" s="11" t="str">
        <f aca="false">IFERROR(INDEX(Реестр!$C:$C,MATCH(C78,Реестр!$A:$A,0)),"⚠ нет в реестре")</f>
        <v>Карточка записи — подтверждена</v>
      </c>
      <c r="E78" s="5" t="s">
        <v>568</v>
      </c>
      <c r="F78" s="5" t="s">
        <v>311</v>
      </c>
      <c r="G78" s="5" t="s">
        <v>136</v>
      </c>
      <c r="H78" s="11" t="str">
        <f aca="false">IF(G78="ANCHOR","Прокрутка к секции",IF(G78="EXT","Внешняя ссылка",IF(G78="PARENT","Вернуться туда, откуда открыто",IFERROR(INDEX(Реестр!$C:$C,MATCH(G78,Реестр!$A:$A,0)),"⚠ нет в реестре"))))</f>
        <v>Карточка записи — в работе</v>
      </c>
      <c r="I78" s="5"/>
      <c r="J78" s="10" t="s">
        <v>297</v>
      </c>
    </row>
    <row r="79" customFormat="false" ht="15" hidden="false" customHeight="false" outlineLevel="0" collapsed="false">
      <c r="A79" s="5" t="s">
        <v>569</v>
      </c>
      <c r="B79" s="5" t="s">
        <v>36</v>
      </c>
      <c r="C79" s="5" t="s">
        <v>134</v>
      </c>
      <c r="D79" s="11" t="str">
        <f aca="false">IFERROR(INDEX(Реестр!$C:$C,MATCH(C79,Реестр!$A:$A,0)),"⚠ нет в реестре")</f>
        <v>Карточка записи — подтверждена</v>
      </c>
      <c r="E79" s="5" t="s">
        <v>570</v>
      </c>
      <c r="F79" s="5" t="s">
        <v>100</v>
      </c>
      <c r="G79" s="5" t="s">
        <v>162</v>
      </c>
      <c r="H79" s="11" t="str">
        <f aca="false">IF(G79="ANCHOR","Прокрутка к секции",IF(G79="EXT","Внешняя ссылка",IF(G79="PARENT","Вернуться туда, откуда открыто",IFERROR(INDEX(Реестр!$C:$C,MATCH(G79,Реестр!$A:$A,0)),"⚠ нет в реестре"))))</f>
        <v>Подтверждение неявки</v>
      </c>
      <c r="I79" s="5"/>
      <c r="J79" s="10" t="s">
        <v>297</v>
      </c>
    </row>
    <row r="80" customFormat="false" ht="15" hidden="false" customHeight="false" outlineLevel="0" collapsed="false">
      <c r="A80" s="5" t="s">
        <v>571</v>
      </c>
      <c r="B80" s="5" t="s">
        <v>36</v>
      </c>
      <c r="C80" s="5" t="s">
        <v>134</v>
      </c>
      <c r="D80" s="11" t="str">
        <f aca="false">IFERROR(INDEX(Реестр!$C:$C,MATCH(C80,Реестр!$A:$A,0)),"⚠ нет в реестре")</f>
        <v>Карточка записи — подтверждена</v>
      </c>
      <c r="E80" s="5" t="s">
        <v>565</v>
      </c>
      <c r="F80" s="5" t="s">
        <v>311</v>
      </c>
      <c r="G80" s="5" t="s">
        <v>152</v>
      </c>
      <c r="H80" s="11" t="str">
        <f aca="false">IF(G80="ANCHOR","Прокрутка к секции",IF(G80="EXT","Внешняя ссылка",IF(G80="PARENT","Вернуться туда, откуда открыто",IFERROR(INDEX(Реестр!$C:$C,MATCH(G80,Реестр!$A:$A,0)),"⚠ нет в реестре"))))</f>
        <v>Карточка клиента (ограниченная)</v>
      </c>
      <c r="I80" s="5"/>
      <c r="J80" s="10" t="s">
        <v>297</v>
      </c>
    </row>
    <row r="81" customFormat="false" ht="15" hidden="false" customHeight="false" outlineLevel="0" collapsed="false">
      <c r="A81" s="5" t="s">
        <v>572</v>
      </c>
      <c r="B81" s="5" t="s">
        <v>36</v>
      </c>
      <c r="C81" s="5" t="s">
        <v>134</v>
      </c>
      <c r="D81" s="11" t="str">
        <f aca="false">IFERROR(INDEX(Реестр!$C:$C,MATCH(C81,Реестр!$A:$A,0)),"⚠ нет в реестре")</f>
        <v>Карточка записи — подтверждена</v>
      </c>
      <c r="E81" s="5" t="s">
        <v>479</v>
      </c>
      <c r="F81" s="5" t="s">
        <v>428</v>
      </c>
      <c r="G81" s="5" t="s">
        <v>127</v>
      </c>
      <c r="H81" s="11" t="str">
        <f aca="false">IF(G81="ANCHOR","Прокрутка к секции",IF(G81="EXT","Внешняя ссылка",IF(G81="PARENT","Вернуться туда, откуда открыто",IFERROR(INDEX(Реестр!$C:$C,MATCH(G81,Реестр!$A:$A,0)),"⚠ нет в реестре"))))</f>
        <v>Сегодня</v>
      </c>
      <c r="I81" s="5"/>
      <c r="J81" s="10" t="s">
        <v>297</v>
      </c>
    </row>
    <row r="82" customFormat="false" ht="15" hidden="false" customHeight="false" outlineLevel="0" collapsed="false">
      <c r="A82" s="5" t="s">
        <v>573</v>
      </c>
      <c r="B82" s="5" t="s">
        <v>36</v>
      </c>
      <c r="C82" s="5" t="s">
        <v>136</v>
      </c>
      <c r="D82" s="11" t="str">
        <f aca="false">IFERROR(INDEX(Реестр!$C:$C,MATCH(C82,Реестр!$A:$A,0)),"⚠ нет в реестре")</f>
        <v>Карточка записи — в работе</v>
      </c>
      <c r="E82" s="5" t="s">
        <v>574</v>
      </c>
      <c r="F82" s="5" t="s">
        <v>311</v>
      </c>
      <c r="G82" s="5" t="s">
        <v>140</v>
      </c>
      <c r="H82" s="11" t="str">
        <f aca="false">IF(G82="ANCHOR","Прокрутка к секции",IF(G82="EXT","Внешняя ссылка",IF(G82="PARENT","Вернуться туда, откуда открыто",IFERROR(INDEX(Реестр!$C:$C,MATCH(G82,Реестр!$A:$A,0)),"⚠ нет в реестре"))))</f>
        <v>Завершение визита</v>
      </c>
      <c r="I82" s="5"/>
      <c r="J82" s="10" t="s">
        <v>297</v>
      </c>
    </row>
    <row r="83" customFormat="false" ht="15" hidden="false" customHeight="false" outlineLevel="0" collapsed="false">
      <c r="A83" s="5" t="s">
        <v>575</v>
      </c>
      <c r="B83" s="5" t="s">
        <v>36</v>
      </c>
      <c r="C83" s="5" t="s">
        <v>136</v>
      </c>
      <c r="D83" s="11" t="str">
        <f aca="false">IFERROR(INDEX(Реестр!$C:$C,MATCH(C83,Реестр!$A:$A,0)),"⚠ нет в реестре")</f>
        <v>Карточка записи — в работе</v>
      </c>
      <c r="E83" s="5" t="s">
        <v>565</v>
      </c>
      <c r="F83" s="5" t="s">
        <v>311</v>
      </c>
      <c r="G83" s="5" t="s">
        <v>152</v>
      </c>
      <c r="H83" s="11" t="str">
        <f aca="false">IF(G83="ANCHOR","Прокрутка к секции",IF(G83="EXT","Внешняя ссылка",IF(G83="PARENT","Вернуться туда, откуда открыто",IFERROR(INDEX(Реестр!$C:$C,MATCH(G83,Реестр!$A:$A,0)),"⚠ нет в реестре"))))</f>
        <v>Карточка клиента (ограниченная)</v>
      </c>
      <c r="I83" s="5"/>
      <c r="J83" s="10" t="s">
        <v>297</v>
      </c>
    </row>
    <row r="84" customFormat="false" ht="15" hidden="false" customHeight="false" outlineLevel="0" collapsed="false">
      <c r="A84" s="5" t="s">
        <v>576</v>
      </c>
      <c r="B84" s="5" t="s">
        <v>36</v>
      </c>
      <c r="C84" s="5" t="s">
        <v>136</v>
      </c>
      <c r="D84" s="11" t="str">
        <f aca="false">IFERROR(INDEX(Реестр!$C:$C,MATCH(C84,Реестр!$A:$A,0)),"⚠ нет в реестре")</f>
        <v>Карточка записи — в работе</v>
      </c>
      <c r="E84" s="5" t="s">
        <v>479</v>
      </c>
      <c r="F84" s="5" t="s">
        <v>428</v>
      </c>
      <c r="G84" s="5" t="s">
        <v>127</v>
      </c>
      <c r="H84" s="11" t="str">
        <f aca="false">IF(G84="ANCHOR","Прокрутка к секции",IF(G84="EXT","Внешняя ссылка",IF(G84="PARENT","Вернуться туда, откуда открыто",IFERROR(INDEX(Реестр!$C:$C,MATCH(G84,Реестр!$A:$A,0)),"⚠ нет в реестре"))))</f>
        <v>Сегодня</v>
      </c>
      <c r="I84" s="5"/>
      <c r="J84" s="10" t="s">
        <v>297</v>
      </c>
    </row>
    <row r="85" customFormat="false" ht="15" hidden="false" customHeight="false" outlineLevel="0" collapsed="false">
      <c r="A85" s="5" t="s">
        <v>577</v>
      </c>
      <c r="B85" s="5" t="s">
        <v>36</v>
      </c>
      <c r="C85" s="5" t="s">
        <v>138</v>
      </c>
      <c r="D85" s="11" t="str">
        <f aca="false">IFERROR(INDEX(Реестр!$C:$C,MATCH(C85,Реестр!$A:$A,0)),"⚠ нет в реестре")</f>
        <v>Карточка записи — завершена</v>
      </c>
      <c r="E85" s="5" t="s">
        <v>578</v>
      </c>
      <c r="F85" s="5" t="s">
        <v>311</v>
      </c>
      <c r="G85" s="5" t="s">
        <v>140</v>
      </c>
      <c r="H85" s="11" t="str">
        <f aca="false">IF(G85="ANCHOR","Прокрутка к секции",IF(G85="EXT","Внешняя ссылка",IF(G85="PARENT","Вернуться туда, откуда открыто",IFERROR(INDEX(Реестр!$C:$C,MATCH(G85,Реестр!$A:$A,0)),"⚠ нет в реестре"))))</f>
        <v>Завершение визита</v>
      </c>
      <c r="I85" s="5" t="s">
        <v>579</v>
      </c>
      <c r="J85" s="10" t="s">
        <v>297</v>
      </c>
    </row>
    <row r="86" customFormat="false" ht="15" hidden="false" customHeight="false" outlineLevel="0" collapsed="false">
      <c r="A86" s="5" t="s">
        <v>580</v>
      </c>
      <c r="B86" s="5" t="s">
        <v>36</v>
      </c>
      <c r="C86" s="5" t="s">
        <v>138</v>
      </c>
      <c r="D86" s="11" t="str">
        <f aca="false">IFERROR(INDEX(Реестр!$C:$C,MATCH(C86,Реестр!$A:$A,0)),"⚠ нет в реестре")</f>
        <v>Карточка записи — завершена</v>
      </c>
      <c r="E86" s="5" t="s">
        <v>565</v>
      </c>
      <c r="F86" s="5" t="s">
        <v>311</v>
      </c>
      <c r="G86" s="5" t="s">
        <v>152</v>
      </c>
      <c r="H86" s="11" t="str">
        <f aca="false">IF(G86="ANCHOR","Прокрутка к секции",IF(G86="EXT","Внешняя ссылка",IF(G86="PARENT","Вернуться туда, откуда открыто",IFERROR(INDEX(Реестр!$C:$C,MATCH(G86,Реестр!$A:$A,0)),"⚠ нет в реестре"))))</f>
        <v>Карточка клиента (ограниченная)</v>
      </c>
      <c r="I86" s="5"/>
      <c r="J86" s="10" t="s">
        <v>297</v>
      </c>
    </row>
    <row r="87" customFormat="false" ht="23.85" hidden="false" customHeight="false" outlineLevel="0" collapsed="false">
      <c r="A87" s="5" t="s">
        <v>581</v>
      </c>
      <c r="B87" s="5" t="s">
        <v>36</v>
      </c>
      <c r="C87" s="5" t="s">
        <v>138</v>
      </c>
      <c r="D87" s="11" t="str">
        <f aca="false">IFERROR(INDEX(Реестр!$C:$C,MATCH(C87,Реестр!$A:$A,0)),"⚠ нет в реестре")</f>
        <v>Карточка записи — завершена</v>
      </c>
      <c r="E87" s="5" t="s">
        <v>582</v>
      </c>
      <c r="F87" s="5" t="s">
        <v>100</v>
      </c>
      <c r="G87" s="5" t="s">
        <v>177</v>
      </c>
      <c r="H87" s="11" t="str">
        <f aca="false">IF(G87="ANCHOR","Прокрутка к секции",IF(G87="EXT","Внешняя ссылка",IF(G87="PARENT","Вернуться туда, откуда открыто",IFERROR(INDEX(Реестр!$C:$C,MATCH(G87,Реестр!$A:$A,0)),"⚠ нет в реестре"))))</f>
        <v>Окно редактирования истекло</v>
      </c>
      <c r="I87" s="5" t="s">
        <v>448</v>
      </c>
      <c r="J87" s="10" t="s">
        <v>297</v>
      </c>
    </row>
    <row r="88" customFormat="false" ht="15" hidden="false" customHeight="false" outlineLevel="0" collapsed="false">
      <c r="A88" s="5" t="s">
        <v>583</v>
      </c>
      <c r="B88" s="5" t="s">
        <v>36</v>
      </c>
      <c r="C88" s="5" t="s">
        <v>138</v>
      </c>
      <c r="D88" s="11" t="str">
        <f aca="false">IFERROR(INDEX(Реестр!$C:$C,MATCH(C88,Реестр!$A:$A,0)),"⚠ нет в реестре")</f>
        <v>Карточка записи — завершена</v>
      </c>
      <c r="E88" s="5" t="s">
        <v>479</v>
      </c>
      <c r="F88" s="5" t="s">
        <v>428</v>
      </c>
      <c r="G88" s="5" t="s">
        <v>127</v>
      </c>
      <c r="H88" s="11" t="str">
        <f aca="false">IF(G88="ANCHOR","Прокрутка к секции",IF(G88="EXT","Внешняя ссылка",IF(G88="PARENT","Вернуться туда, откуда открыто",IFERROR(INDEX(Реестр!$C:$C,MATCH(G88,Реестр!$A:$A,0)),"⚠ нет в реестре"))))</f>
        <v>Сегодня</v>
      </c>
      <c r="I88" s="5"/>
      <c r="J88" s="10" t="s">
        <v>297</v>
      </c>
    </row>
    <row r="89" customFormat="false" ht="15" hidden="false" customHeight="false" outlineLevel="0" collapsed="false">
      <c r="A89" s="5" t="s">
        <v>584</v>
      </c>
      <c r="B89" s="5" t="s">
        <v>36</v>
      </c>
      <c r="C89" s="5" t="s">
        <v>162</v>
      </c>
      <c r="D89" s="11" t="str">
        <f aca="false">IFERROR(INDEX(Реестр!$C:$C,MATCH(C89,Реестр!$A:$A,0)),"⚠ нет в реестре")</f>
        <v>Подтверждение неявки</v>
      </c>
      <c r="E89" s="5" t="s">
        <v>585</v>
      </c>
      <c r="F89" s="5" t="s">
        <v>311</v>
      </c>
      <c r="G89" s="5" t="s">
        <v>127</v>
      </c>
      <c r="H89" s="11" t="str">
        <f aca="false">IF(G89="ANCHOR","Прокрутка к секции",IF(G89="EXT","Внешняя ссылка",IF(G89="PARENT","Вернуться туда, откуда открыто",IFERROR(INDEX(Реестр!$C:$C,MATCH(G89,Реестр!$A:$A,0)),"⚠ нет в реестре"))))</f>
        <v>Сегодня</v>
      </c>
      <c r="I89" s="5"/>
      <c r="J89" s="10" t="s">
        <v>297</v>
      </c>
    </row>
    <row r="90" customFormat="false" ht="15" hidden="false" customHeight="false" outlineLevel="0" collapsed="false">
      <c r="A90" s="5" t="s">
        <v>586</v>
      </c>
      <c r="B90" s="5" t="s">
        <v>36</v>
      </c>
      <c r="C90" s="5" t="s">
        <v>162</v>
      </c>
      <c r="D90" s="11" t="str">
        <f aca="false">IFERROR(INDEX(Реестр!$C:$C,MATCH(C90,Реестр!$A:$A,0)),"⚠ нет в реестре")</f>
        <v>Подтверждение неявки</v>
      </c>
      <c r="E90" s="5" t="s">
        <v>587</v>
      </c>
      <c r="F90" s="5" t="s">
        <v>492</v>
      </c>
      <c r="G90" s="5" t="s">
        <v>134</v>
      </c>
      <c r="H90" s="11" t="str">
        <f aca="false">IF(G90="ANCHOR","Прокрутка к секции",IF(G90="EXT","Внешняя ссылка",IF(G90="PARENT","Вернуться туда, откуда открыто",IFERROR(INDEX(Реестр!$C:$C,MATCH(G90,Реестр!$A:$A,0)),"⚠ нет в реестре"))))</f>
        <v>Карточка записи — подтверждена</v>
      </c>
      <c r="I90" s="5"/>
      <c r="J90" s="10" t="s">
        <v>297</v>
      </c>
    </row>
    <row r="91" customFormat="false" ht="23.85" hidden="false" customHeight="false" outlineLevel="0" collapsed="false">
      <c r="A91" s="5" t="s">
        <v>588</v>
      </c>
      <c r="B91" s="5" t="s">
        <v>36</v>
      </c>
      <c r="C91" s="5" t="s">
        <v>164</v>
      </c>
      <c r="D91" s="11" t="str">
        <f aca="false">IFERROR(INDEX(Реестр!$C:$C,MATCH(C91,Реестр!$A:$A,0)),"⚠ нет в реестре")</f>
        <v>Предложить перенос</v>
      </c>
      <c r="E91" s="5" t="s">
        <v>589</v>
      </c>
      <c r="F91" s="5" t="s">
        <v>492</v>
      </c>
      <c r="G91" s="5" t="s">
        <v>132</v>
      </c>
      <c r="H91" s="11" t="str">
        <f aca="false">IF(G91="ANCHOR","Прокрутка к секции",IF(G91="EXT","Внешняя ссылка",IF(G91="PARENT","Вернуться туда, откуда открыто",IFERROR(INDEX(Реестр!$C:$C,MATCH(G91,Реестр!$A:$A,0)),"⚠ нет в реестре"))))</f>
        <v>Карточка записи — ожидает подтверждения</v>
      </c>
      <c r="I91" s="5"/>
      <c r="J91" s="10" t="s">
        <v>297</v>
      </c>
    </row>
    <row r="92" customFormat="false" ht="23.85" hidden="false" customHeight="false" outlineLevel="0" collapsed="false">
      <c r="A92" s="5" t="s">
        <v>590</v>
      </c>
      <c r="B92" s="5" t="s">
        <v>36</v>
      </c>
      <c r="C92" s="5" t="s">
        <v>164</v>
      </c>
      <c r="D92" s="11" t="str">
        <f aca="false">IFERROR(INDEX(Реестр!$C:$C,MATCH(C92,Реестр!$A:$A,0)),"⚠ нет в реестре")</f>
        <v>Предложить перенос</v>
      </c>
      <c r="E92" s="5" t="s">
        <v>591</v>
      </c>
      <c r="F92" s="5" t="s">
        <v>492</v>
      </c>
      <c r="G92" s="5" t="s">
        <v>132</v>
      </c>
      <c r="H92" s="11" t="str">
        <f aca="false">IF(G92="ANCHOR","Прокрутка к секции",IF(G92="EXT","Внешняя ссылка",IF(G92="PARENT","Вернуться туда, откуда открыто",IFERROR(INDEX(Реестр!$C:$C,MATCH(G92,Реестр!$A:$A,0)),"⚠ нет в реестре"))))</f>
        <v>Карточка записи — ожидает подтверждения</v>
      </c>
      <c r="I92" s="5"/>
      <c r="J92" s="10" t="s">
        <v>297</v>
      </c>
    </row>
    <row r="93" customFormat="false" ht="15" hidden="false" customHeight="false" outlineLevel="0" collapsed="false">
      <c r="A93" s="5" t="s">
        <v>592</v>
      </c>
      <c r="B93" s="5" t="s">
        <v>36</v>
      </c>
      <c r="C93" s="5" t="s">
        <v>140</v>
      </c>
      <c r="D93" s="11" t="str">
        <f aca="false">IFERROR(INDEX(Реестр!$C:$C,MATCH(C93,Реестр!$A:$A,0)),"⚠ нет в реестре")</f>
        <v>Завершение визита</v>
      </c>
      <c r="E93" s="5" t="s">
        <v>593</v>
      </c>
      <c r="F93" s="5" t="s">
        <v>311</v>
      </c>
      <c r="G93" s="5" t="s">
        <v>142</v>
      </c>
      <c r="H93" s="11" t="str">
        <f aca="false">IF(G93="ANCHOR","Прокрутка к секции",IF(G93="EXT","Внешняя ссылка",IF(G93="PARENT","Вернуться туда, откуда открыто",IFERROR(INDEX(Реестр!$C:$C,MATCH(G93,Реестр!$A:$A,0)),"⚠ нет в реестре"))))</f>
        <v>Визит завершён (подтверждение)</v>
      </c>
      <c r="I93" s="5"/>
      <c r="J93" s="10" t="s">
        <v>297</v>
      </c>
    </row>
    <row r="94" customFormat="false" ht="15" hidden="false" customHeight="false" outlineLevel="0" collapsed="false">
      <c r="A94" s="5" t="s">
        <v>594</v>
      </c>
      <c r="B94" s="5" t="s">
        <v>36</v>
      </c>
      <c r="C94" s="5" t="s">
        <v>140</v>
      </c>
      <c r="D94" s="11" t="str">
        <f aca="false">IFERROR(INDEX(Реестр!$C:$C,MATCH(C94,Реестр!$A:$A,0)),"⚠ нет в реестре")</f>
        <v>Завершение визита</v>
      </c>
      <c r="E94" s="5" t="s">
        <v>587</v>
      </c>
      <c r="F94" s="5" t="s">
        <v>428</v>
      </c>
      <c r="G94" s="5" t="s">
        <v>136</v>
      </c>
      <c r="H94" s="11" t="str">
        <f aca="false">IF(G94="ANCHOR","Прокрутка к секции",IF(G94="EXT","Внешняя ссылка",IF(G94="PARENT","Вернуться туда, откуда открыто",IFERROR(INDEX(Реестр!$C:$C,MATCH(G94,Реестр!$A:$A,0)),"⚠ нет в реестре"))))</f>
        <v>Карточка записи — в работе</v>
      </c>
      <c r="I94" s="5"/>
      <c r="J94" s="10" t="s">
        <v>297</v>
      </c>
    </row>
    <row r="95" customFormat="false" ht="15" hidden="false" customHeight="false" outlineLevel="0" collapsed="false">
      <c r="A95" s="5" t="s">
        <v>595</v>
      </c>
      <c r="B95" s="5" t="s">
        <v>36</v>
      </c>
      <c r="C95" s="5" t="s">
        <v>142</v>
      </c>
      <c r="D95" s="11" t="str">
        <f aca="false">IFERROR(INDEX(Реестр!$C:$C,MATCH(C95,Реестр!$A:$A,0)),"⚠ нет в реестре")</f>
        <v>Визит завершён (подтверждение)</v>
      </c>
      <c r="E95" s="5" t="s">
        <v>596</v>
      </c>
      <c r="F95" s="5" t="s">
        <v>311</v>
      </c>
      <c r="G95" s="5" t="s">
        <v>127</v>
      </c>
      <c r="H95" s="11" t="str">
        <f aca="false">IF(G95="ANCHOR","Прокрутка к секции",IF(G95="EXT","Внешняя ссылка",IF(G95="PARENT","Вернуться туда, откуда открыто",IFERROR(INDEX(Реестр!$C:$C,MATCH(G95,Реестр!$A:$A,0)),"⚠ нет в реестре"))))</f>
        <v>Сегодня</v>
      </c>
      <c r="I95" s="5"/>
      <c r="J95" s="10" t="s">
        <v>297</v>
      </c>
    </row>
    <row r="96" customFormat="false" ht="15" hidden="false" customHeight="false" outlineLevel="0" collapsed="false">
      <c r="A96" s="5" t="s">
        <v>597</v>
      </c>
      <c r="B96" s="5" t="s">
        <v>36</v>
      </c>
      <c r="C96" s="5" t="s">
        <v>144</v>
      </c>
      <c r="D96" s="11" t="str">
        <f aca="false">IFERROR(INDEX(Реестр!$C:$C,MATCH(C96,Реестр!$A:$A,0)),"⚠ нет в реестре")</f>
        <v>Календарь</v>
      </c>
      <c r="E96" s="5" t="s">
        <v>598</v>
      </c>
      <c r="F96" s="5" t="s">
        <v>311</v>
      </c>
      <c r="G96" s="5" t="s">
        <v>134</v>
      </c>
      <c r="H96" s="11" t="str">
        <f aca="false">IF(G96="ANCHOR","Прокрутка к секции",IF(G96="EXT","Внешняя ссылка",IF(G96="PARENT","Вернуться туда, откуда открыто",IFERROR(INDEX(Реестр!$C:$C,MATCH(G96,Реестр!$A:$A,0)),"⚠ нет в реестре"))))</f>
        <v>Карточка записи — подтверждена</v>
      </c>
      <c r="I96" s="5"/>
      <c r="J96" s="10" t="s">
        <v>297</v>
      </c>
    </row>
    <row r="97" customFormat="false" ht="23.85" hidden="false" customHeight="false" outlineLevel="0" collapsed="false">
      <c r="A97" s="5" t="s">
        <v>599</v>
      </c>
      <c r="B97" s="5" t="s">
        <v>36</v>
      </c>
      <c r="C97" s="5" t="s">
        <v>144</v>
      </c>
      <c r="D97" s="11" t="str">
        <f aca="false">IFERROR(INDEX(Реестр!$C:$C,MATCH(C97,Реестр!$A:$A,0)),"⚠ нет в реестре")</f>
        <v>Календарь</v>
      </c>
      <c r="E97" s="5" t="s">
        <v>600</v>
      </c>
      <c r="F97" s="5" t="s">
        <v>149</v>
      </c>
      <c r="G97" s="5" t="s">
        <v>147</v>
      </c>
      <c r="H97" s="11" t="str">
        <f aca="false">IF(G97="ANCHOR","Прокрутка к секции",IF(G97="EXT","Внешняя ссылка",IF(G97="PARENT","Вернуться туда, откуда открыто",IFERROR(INDEX(Реестр!$C:$C,MATCH(G97,Реестр!$A:$A,0)),"⚠ нет в реестре"))))</f>
        <v>Шторка действий со свободным слотом</v>
      </c>
      <c r="I97" s="5"/>
      <c r="J97" s="10" t="s">
        <v>297</v>
      </c>
    </row>
    <row r="98" customFormat="false" ht="23.85" hidden="false" customHeight="false" outlineLevel="0" collapsed="false">
      <c r="A98" s="5" t="s">
        <v>601</v>
      </c>
      <c r="B98" s="5" t="s">
        <v>36</v>
      </c>
      <c r="C98" s="5" t="s">
        <v>147</v>
      </c>
      <c r="D98" s="11" t="str">
        <f aca="false">IFERROR(INDEX(Реестр!$C:$C,MATCH(C98,Реестр!$A:$A,0)),"⚠ нет в реестре")</f>
        <v>Шторка действий со свободным слотом</v>
      </c>
      <c r="E98" s="5" t="s">
        <v>602</v>
      </c>
      <c r="F98" s="5" t="s">
        <v>492</v>
      </c>
      <c r="G98" s="5" t="s">
        <v>144</v>
      </c>
      <c r="H98" s="11" t="str">
        <f aca="false">IF(G98="ANCHOR","Прокрутка к секции",IF(G98="EXT","Внешняя ссылка",IF(G98="PARENT","Вернуться туда, откуда открыто",IFERROR(INDEX(Реестр!$C:$C,MATCH(G98,Реестр!$A:$A,0)),"⚠ нет в реестре"))))</f>
        <v>Календарь</v>
      </c>
      <c r="I98" s="5" t="s">
        <v>603</v>
      </c>
      <c r="J98" s="10" t="s">
        <v>297</v>
      </c>
    </row>
    <row r="99" customFormat="false" ht="23.85" hidden="false" customHeight="false" outlineLevel="0" collapsed="false">
      <c r="A99" s="5" t="s">
        <v>604</v>
      </c>
      <c r="B99" s="5" t="s">
        <v>36</v>
      </c>
      <c r="C99" s="5" t="s">
        <v>147</v>
      </c>
      <c r="D99" s="11" t="str">
        <f aca="false">IFERROR(INDEX(Реестр!$C:$C,MATCH(C99,Реестр!$A:$A,0)),"⚠ нет в реестре")</f>
        <v>Шторка действий со свободным слотом</v>
      </c>
      <c r="E99" s="5" t="s">
        <v>605</v>
      </c>
      <c r="F99" s="5" t="s">
        <v>492</v>
      </c>
      <c r="G99" s="5" t="s">
        <v>144</v>
      </c>
      <c r="H99" s="11" t="str">
        <f aca="false">IF(G99="ANCHOR","Прокрутка к секции",IF(G99="EXT","Внешняя ссылка",IF(G99="PARENT","Вернуться туда, откуда открыто",IFERROR(INDEX(Реестр!$C:$C,MATCH(G99,Реестр!$A:$A,0)),"⚠ нет в реестре"))))</f>
        <v>Календарь</v>
      </c>
      <c r="I99" s="5"/>
      <c r="J99" s="10" t="s">
        <v>297</v>
      </c>
    </row>
    <row r="100" customFormat="false" ht="23.85" hidden="false" customHeight="false" outlineLevel="0" collapsed="false">
      <c r="A100" s="5" t="s">
        <v>606</v>
      </c>
      <c r="B100" s="5" t="s">
        <v>36</v>
      </c>
      <c r="C100" s="5" t="s">
        <v>147</v>
      </c>
      <c r="D100" s="11" t="str">
        <f aca="false">IFERROR(INDEX(Реестр!$C:$C,MATCH(C100,Реестр!$A:$A,0)),"⚠ нет в реестре")</f>
        <v>Шторка действий со свободным слотом</v>
      </c>
      <c r="E100" s="5" t="s">
        <v>607</v>
      </c>
      <c r="F100" s="5" t="s">
        <v>492</v>
      </c>
      <c r="G100" s="5" t="s">
        <v>144</v>
      </c>
      <c r="H100" s="11" t="str">
        <f aca="false">IF(G100="ANCHOR","Прокрутка к секции",IF(G100="EXT","Внешняя ссылка",IF(G100="PARENT","Вернуться туда, откуда открыто",IFERROR(INDEX(Реестр!$C:$C,MATCH(G100,Реестр!$A:$A,0)),"⚠ нет в реестре"))))</f>
        <v>Календарь</v>
      </c>
      <c r="I100" s="5"/>
      <c r="J100" s="10" t="s">
        <v>297</v>
      </c>
    </row>
    <row r="101" customFormat="false" ht="15" hidden="false" customHeight="false" outlineLevel="0" collapsed="false">
      <c r="A101" s="5" t="s">
        <v>608</v>
      </c>
      <c r="B101" s="5" t="s">
        <v>36</v>
      </c>
      <c r="C101" s="5" t="s">
        <v>150</v>
      </c>
      <c r="D101" s="11" t="str">
        <f aca="false">IFERROR(INDEX(Реестр!$C:$C,MATCH(C101,Реестр!$A:$A,0)),"⚠ нет в реестре")</f>
        <v>Клиенты (список)</v>
      </c>
      <c r="E101" s="5" t="s">
        <v>609</v>
      </c>
      <c r="F101" s="5" t="s">
        <v>311</v>
      </c>
      <c r="G101" s="5" t="s">
        <v>152</v>
      </c>
      <c r="H101" s="11" t="str">
        <f aca="false">IF(G101="ANCHOR","Прокрутка к секции",IF(G101="EXT","Внешняя ссылка",IF(G101="PARENT","Вернуться туда, откуда открыто",IFERROR(INDEX(Реестр!$C:$C,MATCH(G101,Реестр!$A:$A,0)),"⚠ нет в реестре"))))</f>
        <v>Карточка клиента (ограниченная)</v>
      </c>
      <c r="I101" s="5"/>
      <c r="J101" s="10" t="s">
        <v>297</v>
      </c>
    </row>
    <row r="102" customFormat="false" ht="15" hidden="false" customHeight="false" outlineLevel="0" collapsed="false">
      <c r="A102" s="5" t="s">
        <v>610</v>
      </c>
      <c r="B102" s="5" t="s">
        <v>36</v>
      </c>
      <c r="C102" s="5" t="s">
        <v>152</v>
      </c>
      <c r="D102" s="11" t="str">
        <f aca="false">IFERROR(INDEX(Реестр!$C:$C,MATCH(C102,Реестр!$A:$A,0)),"⚠ нет в реестре")</f>
        <v>Карточка клиента (ограниченная)</v>
      </c>
      <c r="E102" s="5" t="s">
        <v>479</v>
      </c>
      <c r="F102" s="5" t="s">
        <v>428</v>
      </c>
      <c r="G102" s="5" t="s">
        <v>150</v>
      </c>
      <c r="H102" s="11" t="str">
        <f aca="false">IF(G102="ANCHOR","Прокрутка к секции",IF(G102="EXT","Внешняя ссылка",IF(G102="PARENT","Вернуться туда, откуда открыто",IFERROR(INDEX(Реестр!$C:$C,MATCH(G102,Реестр!$A:$A,0)),"⚠ нет в реестре"))))</f>
        <v>Клиенты (список)</v>
      </c>
      <c r="I102" s="5"/>
      <c r="J102" s="10" t="s">
        <v>297</v>
      </c>
    </row>
    <row r="103" customFormat="false" ht="15" hidden="false" customHeight="false" outlineLevel="0" collapsed="false">
      <c r="A103" s="5" t="s">
        <v>611</v>
      </c>
      <c r="B103" s="5" t="s">
        <v>36</v>
      </c>
      <c r="C103" s="5" t="s">
        <v>152</v>
      </c>
      <c r="D103" s="11" t="str">
        <f aca="false">IFERROR(INDEX(Реестр!$C:$C,MATCH(C103,Реестр!$A:$A,0)),"⚠ нет в реестре")</f>
        <v>Карточка клиента (ограниченная)</v>
      </c>
      <c r="E103" s="5" t="s">
        <v>612</v>
      </c>
      <c r="F103" s="5" t="s">
        <v>326</v>
      </c>
      <c r="G103" s="5" t="s">
        <v>327</v>
      </c>
      <c r="H103" s="11" t="str">
        <f aca="false">IF(G103="ANCHOR","Прокрутка к секции",IF(G103="EXT","Внешняя ссылка",IF(G103="PARENT","Вернуться туда, откуда открыто",IFERROR(INDEX(Реестр!$C:$C,MATCH(G103,Реестр!$A:$A,0)),"⚠ нет в реестре"))))</f>
        <v>Внешняя ссылка</v>
      </c>
      <c r="I103" s="5"/>
      <c r="J103" s="10" t="s">
        <v>297</v>
      </c>
    </row>
    <row r="104" customFormat="false" ht="15" hidden="false" customHeight="false" outlineLevel="0" collapsed="false">
      <c r="A104" s="5" t="s">
        <v>613</v>
      </c>
      <c r="B104" s="5" t="s">
        <v>36</v>
      </c>
      <c r="C104" s="5" t="s">
        <v>156</v>
      </c>
      <c r="D104" s="11" t="str">
        <f aca="false">IFERROR(INDEX(Реестр!$C:$C,MATCH(C104,Реестр!$A:$A,0)),"⚠ нет в реестре")</f>
        <v>Профиль (просмотр)</v>
      </c>
      <c r="E104" s="5" t="s">
        <v>614</v>
      </c>
      <c r="F104" s="5" t="s">
        <v>311</v>
      </c>
      <c r="G104" s="5" t="s">
        <v>158</v>
      </c>
      <c r="H104" s="11" t="str">
        <f aca="false">IF(G104="ANCHOR","Прокрутка к секции",IF(G104="EXT","Внешняя ссылка",IF(G104="PARENT","Вернуться туда, откуда открыто",IFERROR(INDEX(Реестр!$C:$C,MATCH(G104,Реестр!$A:$A,0)),"⚠ нет в реестре"))))</f>
        <v>Профиль (редактирование)</v>
      </c>
      <c r="I104" s="5"/>
      <c r="J104" s="10" t="s">
        <v>297</v>
      </c>
    </row>
    <row r="105" customFormat="false" ht="15" hidden="false" customHeight="false" outlineLevel="0" collapsed="false">
      <c r="A105" s="5" t="s">
        <v>615</v>
      </c>
      <c r="B105" s="5" t="s">
        <v>36</v>
      </c>
      <c r="C105" s="5" t="s">
        <v>156</v>
      </c>
      <c r="D105" s="11" t="str">
        <f aca="false">IFERROR(INDEX(Реестр!$C:$C,MATCH(C105,Реестр!$A:$A,0)),"⚠ нет в реестре")</f>
        <v>Профиль (просмотр)</v>
      </c>
      <c r="E105" s="5" t="s">
        <v>616</v>
      </c>
      <c r="F105" s="5" t="s">
        <v>311</v>
      </c>
      <c r="G105" s="5" t="s">
        <v>160</v>
      </c>
      <c r="H105" s="11" t="str">
        <f aca="false">IF(G105="ANCHOR","Прокрутка к секции",IF(G105="EXT","Внешняя ссылка",IF(G105="PARENT","Вернуться туда, откуда открыто",IFERROR(INDEX(Реестр!$C:$C,MATCH(G105,Реестр!$A:$A,0)),"⚠ нет в реестре"))))</f>
        <v>Превью профиля глазами клиента</v>
      </c>
      <c r="I105" s="5"/>
      <c r="J105" s="10" t="s">
        <v>297</v>
      </c>
    </row>
    <row r="106" customFormat="false" ht="15" hidden="false" customHeight="false" outlineLevel="0" collapsed="false">
      <c r="A106" s="5" t="s">
        <v>617</v>
      </c>
      <c r="B106" s="5" t="s">
        <v>36</v>
      </c>
      <c r="C106" s="5" t="s">
        <v>156</v>
      </c>
      <c r="D106" s="11" t="str">
        <f aca="false">IFERROR(INDEX(Реестр!$C:$C,MATCH(C106,Реестр!$A:$A,0)),"⚠ нет в реестре")</f>
        <v>Профиль (просмотр)</v>
      </c>
      <c r="E106" s="5" t="s">
        <v>547</v>
      </c>
      <c r="F106" s="5" t="s">
        <v>311</v>
      </c>
      <c r="G106" s="5" t="s">
        <v>71</v>
      </c>
      <c r="H106" s="11" t="str">
        <f aca="false">IF(G106="ANCHOR","Прокрутка к секции",IF(G106="EXT","Внешняя ссылка",IF(G106="PARENT","Вернуться туда, откуда открыто",IFERROR(INDEX(Реестр!$C:$C,MATCH(G106,Реестр!$A:$A,0)),"⚠ нет в реестре"))))</f>
        <v>Вход сотрудника</v>
      </c>
      <c r="I106" s="5"/>
      <c r="J106" s="10" t="s">
        <v>297</v>
      </c>
    </row>
    <row r="107" customFormat="false" ht="15" hidden="false" customHeight="false" outlineLevel="0" collapsed="false">
      <c r="A107" s="5" t="s">
        <v>618</v>
      </c>
      <c r="B107" s="5" t="s">
        <v>36</v>
      </c>
      <c r="C107" s="5" t="s">
        <v>158</v>
      </c>
      <c r="D107" s="11" t="str">
        <f aca="false">IFERROR(INDEX(Реестр!$C:$C,MATCH(C107,Реестр!$A:$A,0)),"⚠ нет в реестре")</f>
        <v>Профиль (редактирование)</v>
      </c>
      <c r="E107" s="5" t="s">
        <v>442</v>
      </c>
      <c r="F107" s="5" t="s">
        <v>311</v>
      </c>
      <c r="G107" s="5" t="s">
        <v>156</v>
      </c>
      <c r="H107" s="11" t="str">
        <f aca="false">IF(G107="ANCHOR","Прокрутка к секции",IF(G107="EXT","Внешняя ссылка",IF(G107="PARENT","Вернуться туда, откуда открыто",IFERROR(INDEX(Реестр!$C:$C,MATCH(G107,Реестр!$A:$A,0)),"⚠ нет в реестре"))))</f>
        <v>Профиль (просмотр)</v>
      </c>
      <c r="I107" s="5"/>
      <c r="J107" s="10" t="s">
        <v>297</v>
      </c>
    </row>
    <row r="108" customFormat="false" ht="15" hidden="false" customHeight="false" outlineLevel="0" collapsed="false">
      <c r="A108" s="5" t="s">
        <v>619</v>
      </c>
      <c r="B108" s="5" t="s">
        <v>36</v>
      </c>
      <c r="C108" s="5" t="s">
        <v>158</v>
      </c>
      <c r="D108" s="11" t="str">
        <f aca="false">IFERROR(INDEX(Реестр!$C:$C,MATCH(C108,Реестр!$A:$A,0)),"⚠ нет в реестре")</f>
        <v>Профиль (редактирование)</v>
      </c>
      <c r="E108" s="5" t="s">
        <v>587</v>
      </c>
      <c r="F108" s="5" t="s">
        <v>428</v>
      </c>
      <c r="G108" s="5" t="s">
        <v>156</v>
      </c>
      <c r="H108" s="11" t="str">
        <f aca="false">IF(G108="ANCHOR","Прокрутка к секции",IF(G108="EXT","Внешняя ссылка",IF(G108="PARENT","Вернуться туда, откуда открыто",IFERROR(INDEX(Реестр!$C:$C,MATCH(G108,Реестр!$A:$A,0)),"⚠ нет в реестре"))))</f>
        <v>Профиль (просмотр)</v>
      </c>
      <c r="I108" s="5"/>
      <c r="J108" s="10" t="s">
        <v>297</v>
      </c>
    </row>
    <row r="109" customFormat="false" ht="15" hidden="false" customHeight="false" outlineLevel="0" collapsed="false">
      <c r="A109" s="5" t="s">
        <v>620</v>
      </c>
      <c r="B109" s="5" t="s">
        <v>36</v>
      </c>
      <c r="C109" s="5" t="s">
        <v>160</v>
      </c>
      <c r="D109" s="11" t="str">
        <f aca="false">IFERROR(INDEX(Реестр!$C:$C,MATCH(C109,Реестр!$A:$A,0)),"⚠ нет в реестре")</f>
        <v>Превью профиля глазами клиента</v>
      </c>
      <c r="E109" s="5" t="s">
        <v>479</v>
      </c>
      <c r="F109" s="5" t="s">
        <v>428</v>
      </c>
      <c r="G109" s="5" t="s">
        <v>156</v>
      </c>
      <c r="H109" s="11" t="str">
        <f aca="false">IF(G109="ANCHOR","Прокрутка к секции",IF(G109="EXT","Внешняя ссылка",IF(G109="PARENT","Вернуться туда, откуда открыто",IFERROR(INDEX(Реестр!$C:$C,MATCH(G109,Реестр!$A:$A,0)),"⚠ нет в реестре"))))</f>
        <v>Профиль (просмотр)</v>
      </c>
      <c r="I109" s="5"/>
      <c r="J109" s="10" t="s">
        <v>297</v>
      </c>
    </row>
    <row r="110" customFormat="false" ht="15" hidden="false" customHeight="false" outlineLevel="0" collapsed="false">
      <c r="A110" s="5" t="s">
        <v>621</v>
      </c>
      <c r="B110" s="5" t="s">
        <v>36</v>
      </c>
      <c r="C110" s="5" t="s">
        <v>175</v>
      </c>
      <c r="D110" s="11" t="str">
        <f aca="false">IFERROR(INDEX(Реестр!$C:$C,MATCH(C110,Реестр!$A:$A,0)),"⚠ нет в реестре")</f>
        <v>Push на экране блокировки</v>
      </c>
      <c r="E110" s="5" t="s">
        <v>622</v>
      </c>
      <c r="F110" s="5" t="s">
        <v>311</v>
      </c>
      <c r="G110" s="5" t="s">
        <v>134</v>
      </c>
      <c r="H110" s="11" t="str">
        <f aca="false">IF(G110="ANCHOR","Прокрутка к секции",IF(G110="EXT","Внешняя ссылка",IF(G110="PARENT","Вернуться туда, откуда открыто",IFERROR(INDEX(Реестр!$C:$C,MATCH(G110,Реестр!$A:$A,0)),"⚠ нет в реестре"))))</f>
        <v>Карточка записи — подтверждена</v>
      </c>
      <c r="I110" s="5"/>
      <c r="J110" s="10" t="s">
        <v>297</v>
      </c>
    </row>
    <row r="111" customFormat="false" ht="15" hidden="false" customHeight="false" outlineLevel="0" collapsed="false">
      <c r="A111" s="5" t="s">
        <v>623</v>
      </c>
      <c r="B111" s="5" t="s">
        <v>36</v>
      </c>
      <c r="C111" s="5" t="s">
        <v>177</v>
      </c>
      <c r="D111" s="11" t="str">
        <f aca="false">IFERROR(INDEX(Реестр!$C:$C,MATCH(C111,Реестр!$A:$A,0)),"⚠ нет в реестре")</f>
        <v>Окно редактирования истекло</v>
      </c>
      <c r="E111" s="5" t="s">
        <v>624</v>
      </c>
      <c r="F111" s="5" t="s">
        <v>492</v>
      </c>
      <c r="G111" s="5" t="s">
        <v>138</v>
      </c>
      <c r="H111" s="11" t="str">
        <f aca="false">IF(G111="ANCHOR","Прокрутка к секции",IF(G111="EXT","Внешняя ссылка",IF(G111="PARENT","Вернуться туда, откуда открыто",IFERROR(INDEX(Реестр!$C:$C,MATCH(G111,Реестр!$A:$A,0)),"⚠ нет в реестре"))))</f>
        <v>Карточка записи — завершена</v>
      </c>
      <c r="I111" s="5"/>
      <c r="J111" s="10" t="s">
        <v>297</v>
      </c>
    </row>
    <row r="112" customFormat="false" ht="15" hidden="false" customHeight="false" outlineLevel="0" collapsed="false">
      <c r="A112" s="5" t="s">
        <v>625</v>
      </c>
      <c r="B112" s="5" t="s">
        <v>37</v>
      </c>
      <c r="C112" s="5" t="s">
        <v>179</v>
      </c>
      <c r="D112" s="11" t="str">
        <f aca="false">IFERROR(INDEX(Реестр!$C:$C,MATCH(C112,Реестр!$A:$A,0)),"⚠ нет в реестре")</f>
        <v>Шахматка (день)</v>
      </c>
      <c r="E112" s="5" t="s">
        <v>626</v>
      </c>
      <c r="F112" s="5" t="s">
        <v>195</v>
      </c>
      <c r="G112" s="5" t="s">
        <v>193</v>
      </c>
      <c r="H112" s="11" t="str">
        <f aca="false">IF(G112="ANCHOR","Прокрутка к секции",IF(G112="EXT","Внешняя ссылка",IF(G112="PARENT","Вернуться туда, откуда открыто",IFERROR(INDEX(Реестр!$C:$C,MATCH(G112,Реестр!$A:$A,0)),"⚠ нет в реестре"))))</f>
        <v>Поповер записи</v>
      </c>
      <c r="I112" s="5"/>
      <c r="J112" s="10" t="s">
        <v>297</v>
      </c>
    </row>
    <row r="113" customFormat="false" ht="15" hidden="false" customHeight="false" outlineLevel="0" collapsed="false">
      <c r="A113" s="5" t="s">
        <v>627</v>
      </c>
      <c r="B113" s="5" t="s">
        <v>37</v>
      </c>
      <c r="C113" s="5" t="s">
        <v>179</v>
      </c>
      <c r="D113" s="11" t="str">
        <f aca="false">IFERROR(INDEX(Реестр!$C:$C,MATCH(C113,Реестр!$A:$A,0)),"⚠ нет в реестре")</f>
        <v>Шахматка (день)</v>
      </c>
      <c r="E113" s="5" t="s">
        <v>628</v>
      </c>
      <c r="F113" s="5" t="s">
        <v>190</v>
      </c>
      <c r="G113" s="5" t="s">
        <v>188</v>
      </c>
      <c r="H113" s="11" t="str">
        <f aca="false">IF(G113="ANCHOR","Прокрутка к секции",IF(G113="EXT","Внешняя ссылка",IF(G113="PARENT","Вернуться туда, откуда открыто",IFERROR(INDEX(Реестр!$C:$C,MATCH(G113,Реестр!$A:$A,0)),"⚠ нет в реестре"))))</f>
        <v>Панель создания записи</v>
      </c>
      <c r="I113" s="5"/>
      <c r="J113" s="10" t="s">
        <v>297</v>
      </c>
    </row>
    <row r="114" customFormat="false" ht="15" hidden="false" customHeight="false" outlineLevel="0" collapsed="false">
      <c r="A114" s="5" t="s">
        <v>629</v>
      </c>
      <c r="B114" s="5" t="s">
        <v>37</v>
      </c>
      <c r="C114" s="5" t="s">
        <v>179</v>
      </c>
      <c r="D114" s="11" t="str">
        <f aca="false">IFERROR(INDEX(Реестр!$C:$C,MATCH(C114,Реестр!$A:$A,0)),"⚠ нет в реестре")</f>
        <v>Шахматка (день)</v>
      </c>
      <c r="E114" s="5" t="s">
        <v>630</v>
      </c>
      <c r="F114" s="5" t="s">
        <v>311</v>
      </c>
      <c r="G114" s="5" t="s">
        <v>184</v>
      </c>
      <c r="H114" s="11" t="str">
        <f aca="false">IF(G114="ANCHOR","Прокрутка к секции",IF(G114="EXT","Внешняя ссылка",IF(G114="PARENT","Вернуться туда, откуда открыто",IFERROR(INDEX(Реестр!$C:$C,MATCH(G114,Реестр!$A:$A,0)),"⚠ нет в реестре"))))</f>
        <v>Шахматка (неделя)</v>
      </c>
      <c r="I114" s="5"/>
      <c r="J114" s="10" t="s">
        <v>297</v>
      </c>
    </row>
    <row r="115" customFormat="false" ht="15" hidden="false" customHeight="false" outlineLevel="0" collapsed="false">
      <c r="A115" s="5" t="s">
        <v>631</v>
      </c>
      <c r="B115" s="5" t="s">
        <v>37</v>
      </c>
      <c r="C115" s="5" t="s">
        <v>179</v>
      </c>
      <c r="D115" s="11" t="str">
        <f aca="false">IFERROR(INDEX(Реестр!$C:$C,MATCH(C115,Реестр!$A:$A,0)),"⚠ нет в реестре")</f>
        <v>Шахматка (день)</v>
      </c>
      <c r="E115" s="5" t="s">
        <v>632</v>
      </c>
      <c r="F115" s="5" t="s">
        <v>311</v>
      </c>
      <c r="G115" s="5" t="s">
        <v>212</v>
      </c>
      <c r="H115" s="11" t="str">
        <f aca="false">IF(G115="ANCHOR","Прокрутка к секции",IF(G115="EXT","Внешняя ссылка",IF(G115="PARENT","Вернуться туда, откуда открыто",IFERROR(INDEX(Реестр!$C:$C,MATCH(G115,Реестр!$A:$A,0)),"⚠ нет в реестре"))))</f>
        <v>Оплаты (смена)</v>
      </c>
      <c r="I115" s="5"/>
      <c r="J115" s="10" t="s">
        <v>297</v>
      </c>
    </row>
    <row r="116" customFormat="false" ht="15" hidden="false" customHeight="false" outlineLevel="0" collapsed="false">
      <c r="A116" s="5" t="s">
        <v>633</v>
      </c>
      <c r="B116" s="5" t="s">
        <v>37</v>
      </c>
      <c r="C116" s="5" t="s">
        <v>184</v>
      </c>
      <c r="D116" s="11" t="str">
        <f aca="false">IFERROR(INDEX(Реестр!$C:$C,MATCH(C116,Реестр!$A:$A,0)),"⚠ нет в реестре")</f>
        <v>Шахматка (неделя)</v>
      </c>
      <c r="E116" s="5" t="s">
        <v>634</v>
      </c>
      <c r="F116" s="5" t="s">
        <v>311</v>
      </c>
      <c r="G116" s="5" t="s">
        <v>179</v>
      </c>
      <c r="H116" s="11" t="str">
        <f aca="false">IF(G116="ANCHOR","Прокрутка к секции",IF(G116="EXT","Внешняя ссылка",IF(G116="PARENT","Вернуться туда, откуда открыто",IFERROR(INDEX(Реестр!$C:$C,MATCH(G116,Реестр!$A:$A,0)),"⚠ нет в реестре"))))</f>
        <v>Шахматка (день)</v>
      </c>
      <c r="I116" s="5"/>
      <c r="J116" s="10" t="s">
        <v>297</v>
      </c>
    </row>
    <row r="117" customFormat="false" ht="15" hidden="false" customHeight="false" outlineLevel="0" collapsed="false">
      <c r="A117" s="5" t="s">
        <v>635</v>
      </c>
      <c r="B117" s="5" t="s">
        <v>37</v>
      </c>
      <c r="C117" s="5" t="s">
        <v>184</v>
      </c>
      <c r="D117" s="11" t="str">
        <f aca="false">IFERROR(INDEX(Реестр!$C:$C,MATCH(C117,Реестр!$A:$A,0)),"⚠ нет в реестре")</f>
        <v>Шахматка (неделя)</v>
      </c>
      <c r="E117" s="5" t="s">
        <v>636</v>
      </c>
      <c r="F117" s="5" t="s">
        <v>195</v>
      </c>
      <c r="G117" s="5" t="s">
        <v>193</v>
      </c>
      <c r="H117" s="11" t="str">
        <f aca="false">IF(G117="ANCHOR","Прокрутка к секции",IF(G117="EXT","Внешняя ссылка",IF(G117="PARENT","Вернуться туда, откуда открыто",IFERROR(INDEX(Реестр!$C:$C,MATCH(G117,Реестр!$A:$A,0)),"⚠ нет в реестре"))))</f>
        <v>Поповер записи</v>
      </c>
      <c r="I117" s="5"/>
      <c r="J117" s="10" t="s">
        <v>297</v>
      </c>
    </row>
    <row r="118" customFormat="false" ht="15" hidden="false" customHeight="false" outlineLevel="0" collapsed="false">
      <c r="A118" s="5" t="s">
        <v>637</v>
      </c>
      <c r="B118" s="5" t="s">
        <v>37</v>
      </c>
      <c r="C118" s="5" t="s">
        <v>188</v>
      </c>
      <c r="D118" s="11" t="str">
        <f aca="false">IFERROR(INDEX(Реестр!$C:$C,MATCH(C118,Реестр!$A:$A,0)),"⚠ нет в реестре")</f>
        <v>Панель создания записи</v>
      </c>
      <c r="E118" s="5" t="s">
        <v>638</v>
      </c>
      <c r="F118" s="5" t="s">
        <v>492</v>
      </c>
      <c r="G118" s="5" t="s">
        <v>179</v>
      </c>
      <c r="H118" s="11" t="str">
        <f aca="false">IF(G118="ANCHOR","Прокрутка к секции",IF(G118="EXT","Внешняя ссылка",IF(G118="PARENT","Вернуться туда, откуда открыто",IFERROR(INDEX(Реестр!$C:$C,MATCH(G118,Реестр!$A:$A,0)),"⚠ нет в реестре"))))</f>
        <v>Шахматка (день)</v>
      </c>
      <c r="I118" s="5"/>
      <c r="J118" s="10" t="s">
        <v>297</v>
      </c>
    </row>
    <row r="119" customFormat="false" ht="15" hidden="false" customHeight="false" outlineLevel="0" collapsed="false">
      <c r="A119" s="5" t="s">
        <v>639</v>
      </c>
      <c r="B119" s="5" t="s">
        <v>37</v>
      </c>
      <c r="C119" s="5" t="s">
        <v>188</v>
      </c>
      <c r="D119" s="11" t="str">
        <f aca="false">IFERROR(INDEX(Реестр!$C:$C,MATCH(C119,Реестр!$A:$A,0)),"⚠ нет в реестре")</f>
        <v>Панель создания записи</v>
      </c>
      <c r="E119" s="5" t="s">
        <v>587</v>
      </c>
      <c r="F119" s="5" t="s">
        <v>492</v>
      </c>
      <c r="G119" s="5" t="s">
        <v>179</v>
      </c>
      <c r="H119" s="11" t="str">
        <f aca="false">IF(G119="ANCHOR","Прокрутка к секции",IF(G119="EXT","Внешняя ссылка",IF(G119="PARENT","Вернуться туда, откуда открыто",IFERROR(INDEX(Реестр!$C:$C,MATCH(G119,Реестр!$A:$A,0)),"⚠ нет в реестре"))))</f>
        <v>Шахматка (день)</v>
      </c>
      <c r="I119" s="5"/>
      <c r="J119" s="10" t="s">
        <v>297</v>
      </c>
    </row>
    <row r="120" customFormat="false" ht="15" hidden="false" customHeight="false" outlineLevel="0" collapsed="false">
      <c r="A120" s="5" t="s">
        <v>640</v>
      </c>
      <c r="B120" s="5" t="s">
        <v>37</v>
      </c>
      <c r="C120" s="5" t="s">
        <v>188</v>
      </c>
      <c r="D120" s="11" t="str">
        <f aca="false">IFERROR(INDEX(Реестр!$C:$C,MATCH(C120,Реестр!$A:$A,0)),"⚠ нет в реестре")</f>
        <v>Панель создания записи</v>
      </c>
      <c r="E120" s="5" t="s">
        <v>641</v>
      </c>
      <c r="F120" s="5" t="s">
        <v>311</v>
      </c>
      <c r="G120" s="5" t="s">
        <v>191</v>
      </c>
      <c r="H120" s="11" t="str">
        <f aca="false">IF(G120="ANCHOR","Прокрутка к секции",IF(G120="EXT","Внешняя ссылка",IF(G120="PARENT","Вернуться туда, откуда открыто",IFERROR(INDEX(Реестр!$C:$C,MATCH(G120,Реестр!$A:$A,0)),"⚠ нет в реестре"))))</f>
        <v>Создание записи — конфликт слота</v>
      </c>
      <c r="I120" s="5"/>
      <c r="J120" s="10" t="s">
        <v>297</v>
      </c>
    </row>
    <row r="121" customFormat="false" ht="15" hidden="false" customHeight="false" outlineLevel="0" collapsed="false">
      <c r="A121" s="5" t="s">
        <v>642</v>
      </c>
      <c r="B121" s="5" t="s">
        <v>37</v>
      </c>
      <c r="C121" s="5" t="s">
        <v>191</v>
      </c>
      <c r="D121" s="11" t="str">
        <f aca="false">IFERROR(INDEX(Реестр!$C:$C,MATCH(C121,Реестр!$A:$A,0)),"⚠ нет в реестре")</f>
        <v>Создание записи — конфликт слота</v>
      </c>
      <c r="E121" s="5" t="s">
        <v>643</v>
      </c>
      <c r="F121" s="5" t="s">
        <v>311</v>
      </c>
      <c r="G121" s="5" t="s">
        <v>188</v>
      </c>
      <c r="H121" s="11" t="str">
        <f aca="false">IF(G121="ANCHOR","Прокрутка к секции",IF(G121="EXT","Внешняя ссылка",IF(G121="PARENT","Вернуться туда, откуда открыто",IFERROR(INDEX(Реестр!$C:$C,MATCH(G121,Реестр!$A:$A,0)),"⚠ нет в реестре"))))</f>
        <v>Панель создания записи</v>
      </c>
      <c r="I121" s="5"/>
      <c r="J121" s="10" t="s">
        <v>297</v>
      </c>
    </row>
    <row r="122" customFormat="false" ht="15" hidden="false" customHeight="false" outlineLevel="0" collapsed="false">
      <c r="A122" s="5" t="s">
        <v>644</v>
      </c>
      <c r="B122" s="5" t="s">
        <v>37</v>
      </c>
      <c r="C122" s="5" t="s">
        <v>193</v>
      </c>
      <c r="D122" s="11" t="str">
        <f aca="false">IFERROR(INDEX(Реестр!$C:$C,MATCH(C122,Реестр!$A:$A,0)),"⚠ нет в реестре")</f>
        <v>Поповер записи</v>
      </c>
      <c r="E122" s="5" t="s">
        <v>456</v>
      </c>
      <c r="F122" s="5" t="s">
        <v>492</v>
      </c>
      <c r="G122" s="5" t="s">
        <v>179</v>
      </c>
      <c r="H122" s="11" t="str">
        <f aca="false">IF(G122="ANCHOR","Прокрутка к секции",IF(G122="EXT","Внешняя ссылка",IF(G122="PARENT","Вернуться туда, откуда открыто",IFERROR(INDEX(Реестр!$C:$C,MATCH(G122,Реестр!$A:$A,0)),"⚠ нет в реестре"))))</f>
        <v>Шахматка (день)</v>
      </c>
      <c r="I122" s="5"/>
      <c r="J122" s="10" t="s">
        <v>297</v>
      </c>
    </row>
    <row r="123" customFormat="false" ht="15" hidden="false" customHeight="false" outlineLevel="0" collapsed="false">
      <c r="A123" s="5" t="s">
        <v>645</v>
      </c>
      <c r="B123" s="5" t="s">
        <v>37</v>
      </c>
      <c r="C123" s="5" t="s">
        <v>193</v>
      </c>
      <c r="D123" s="11" t="str">
        <f aca="false">IFERROR(INDEX(Реестр!$C:$C,MATCH(C123,Реестр!$A:$A,0)),"⚠ нет в реестре")</f>
        <v>Поповер записи</v>
      </c>
      <c r="E123" s="5" t="s">
        <v>528</v>
      </c>
      <c r="F123" s="5" t="s">
        <v>100</v>
      </c>
      <c r="G123" s="5" t="s">
        <v>196</v>
      </c>
      <c r="H123" s="11" t="str">
        <f aca="false">IF(G123="ANCHOR","Прокрутка к секции",IF(G123="EXT","Внешняя ссылка",IF(G123="PARENT","Вернуться туда, откуда открыто",IFERROR(INDEX(Реестр!$C:$C,MATCH(G123,Реестр!$A:$A,0)),"⚠ нет в реестре"))))</f>
        <v>Диалог переноса</v>
      </c>
      <c r="I123" s="5"/>
      <c r="J123" s="10" t="s">
        <v>297</v>
      </c>
    </row>
    <row r="124" customFormat="false" ht="15" hidden="false" customHeight="false" outlineLevel="0" collapsed="false">
      <c r="A124" s="5" t="s">
        <v>646</v>
      </c>
      <c r="B124" s="5" t="s">
        <v>37</v>
      </c>
      <c r="C124" s="5" t="s">
        <v>193</v>
      </c>
      <c r="D124" s="11" t="str">
        <f aca="false">IFERROR(INDEX(Реестр!$C:$C,MATCH(C124,Реестр!$A:$A,0)),"⚠ нет в реестре")</f>
        <v>Поповер записи</v>
      </c>
      <c r="E124" s="5" t="s">
        <v>530</v>
      </c>
      <c r="F124" s="5" t="s">
        <v>100</v>
      </c>
      <c r="G124" s="5" t="s">
        <v>198</v>
      </c>
      <c r="H124" s="11" t="str">
        <f aca="false">IF(G124="ANCHOR","Прокрутка к секции",IF(G124="EXT","Внешняя ссылка",IF(G124="PARENT","Вернуться туда, откуда открыто",IFERROR(INDEX(Реестр!$C:$C,MATCH(G124,Реестр!$A:$A,0)),"⚠ нет в реестре"))))</f>
        <v>Диалог отмены</v>
      </c>
      <c r="I124" s="5"/>
      <c r="J124" s="10" t="s">
        <v>297</v>
      </c>
    </row>
    <row r="125" customFormat="false" ht="23.85" hidden="false" customHeight="false" outlineLevel="0" collapsed="false">
      <c r="A125" s="5" t="s">
        <v>647</v>
      </c>
      <c r="B125" s="5" t="s">
        <v>37</v>
      </c>
      <c r="C125" s="5" t="s">
        <v>193</v>
      </c>
      <c r="D125" s="11" t="str">
        <f aca="false">IFERROR(INDEX(Реестр!$C:$C,MATCH(C125,Реестр!$A:$A,0)),"⚠ нет в реестре")</f>
        <v>Поповер записи</v>
      </c>
      <c r="E125" s="5" t="s">
        <v>648</v>
      </c>
      <c r="F125" s="5" t="s">
        <v>100</v>
      </c>
      <c r="G125" s="5" t="s">
        <v>200</v>
      </c>
      <c r="H125" s="11" t="str">
        <f aca="false">IF(G125="ANCHOR","Прокрутка к секции",IF(G125="EXT","Внешняя ссылка",IF(G125="PARENT","Вернуться туда, откуда открыто",IFERROR(INDEX(Реестр!$C:$C,MATCH(G125,Реестр!$A:$A,0)),"⚠ нет в реестре"))))</f>
        <v>Диалог неявки</v>
      </c>
      <c r="I125" s="5" t="s">
        <v>649</v>
      </c>
      <c r="J125" s="10" t="s">
        <v>297</v>
      </c>
    </row>
    <row r="126" customFormat="false" ht="15" hidden="false" customHeight="false" outlineLevel="0" collapsed="false">
      <c r="A126" s="5" t="s">
        <v>650</v>
      </c>
      <c r="B126" s="5" t="s">
        <v>37</v>
      </c>
      <c r="C126" s="5" t="s">
        <v>193</v>
      </c>
      <c r="D126" s="11" t="str">
        <f aca="false">IFERROR(INDEX(Реестр!$C:$C,MATCH(C126,Реестр!$A:$A,0)),"⚠ нет в реестре")</f>
        <v>Поповер записи</v>
      </c>
      <c r="E126" s="5" t="s">
        <v>651</v>
      </c>
      <c r="F126" s="5" t="s">
        <v>100</v>
      </c>
      <c r="G126" s="5" t="s">
        <v>214</v>
      </c>
      <c r="H126" s="11" t="str">
        <f aca="false">IF(G126="ANCHOR","Прокрутка к секции",IF(G126="EXT","Внешняя ссылка",IF(G126="PARENT","Вернуться туда, откуда открыто",IFERROR(INDEX(Реестр!$C:$C,MATCH(G126,Реестр!$A:$A,0)),"⚠ нет в реестре"))))</f>
        <v>Диалог «Принять оплату»</v>
      </c>
      <c r="I126" s="5"/>
      <c r="J126" s="10" t="s">
        <v>297</v>
      </c>
    </row>
    <row r="127" customFormat="false" ht="15" hidden="false" customHeight="false" outlineLevel="0" collapsed="false">
      <c r="A127" s="5" t="s">
        <v>652</v>
      </c>
      <c r="B127" s="5" t="s">
        <v>37</v>
      </c>
      <c r="C127" s="5" t="s">
        <v>193</v>
      </c>
      <c r="D127" s="11" t="str">
        <f aca="false">IFERROR(INDEX(Реестр!$C:$C,MATCH(C127,Реестр!$A:$A,0)),"⚠ нет в реестре")</f>
        <v>Поповер записи</v>
      </c>
      <c r="E127" s="5" t="s">
        <v>653</v>
      </c>
      <c r="F127" s="5" t="s">
        <v>311</v>
      </c>
      <c r="G127" s="5" t="s">
        <v>205</v>
      </c>
      <c r="H127" s="11" t="str">
        <f aca="false">IF(G127="ANCHOR","Прокрутка к секции",IF(G127="EXT","Внешняя ссылка",IF(G127="PARENT","Вернуться туда, откуда открыто",IFERROR(INDEX(Реестр!$C:$C,MATCH(G127,Реестр!$A:$A,0)),"⚠ нет в реестре"))))</f>
        <v>Карточка клиента (полная)</v>
      </c>
      <c r="I127" s="5"/>
      <c r="J127" s="10" t="s">
        <v>297</v>
      </c>
    </row>
    <row r="128" customFormat="false" ht="15" hidden="false" customHeight="false" outlineLevel="0" collapsed="false">
      <c r="A128" s="5" t="s">
        <v>654</v>
      </c>
      <c r="B128" s="5" t="s">
        <v>37</v>
      </c>
      <c r="C128" s="5" t="s">
        <v>193</v>
      </c>
      <c r="D128" s="11" t="str">
        <f aca="false">IFERROR(INDEX(Реестр!$C:$C,MATCH(C128,Реестр!$A:$A,0)),"⚠ нет в реестре")</f>
        <v>Поповер записи</v>
      </c>
      <c r="E128" s="5" t="s">
        <v>655</v>
      </c>
      <c r="F128" s="5" t="s">
        <v>492</v>
      </c>
      <c r="G128" s="5" t="s">
        <v>179</v>
      </c>
      <c r="H128" s="11" t="str">
        <f aca="false">IF(G128="ANCHOR","Прокрутка к секции",IF(G128="EXT","Внешняя ссылка",IF(G128="PARENT","Вернуться туда, откуда открыто",IFERROR(INDEX(Реестр!$C:$C,MATCH(G128,Реестр!$A:$A,0)),"⚠ нет в реестре"))))</f>
        <v>Шахматка (день)</v>
      </c>
      <c r="I128" s="5"/>
      <c r="J128" s="10" t="s">
        <v>297</v>
      </c>
    </row>
    <row r="129" customFormat="false" ht="15" hidden="false" customHeight="false" outlineLevel="0" collapsed="false">
      <c r="A129" s="5" t="s">
        <v>656</v>
      </c>
      <c r="B129" s="5" t="s">
        <v>37</v>
      </c>
      <c r="C129" s="5" t="s">
        <v>196</v>
      </c>
      <c r="D129" s="11" t="str">
        <f aca="false">IFERROR(INDEX(Реестр!$C:$C,MATCH(C129,Реестр!$A:$A,0)),"⚠ нет в реестре")</f>
        <v>Диалог переноса</v>
      </c>
      <c r="E129" s="5" t="s">
        <v>528</v>
      </c>
      <c r="F129" s="5" t="s">
        <v>492</v>
      </c>
      <c r="G129" s="5" t="s">
        <v>179</v>
      </c>
      <c r="H129" s="11" t="str">
        <f aca="false">IF(G129="ANCHOR","Прокрутка к секции",IF(G129="EXT","Внешняя ссылка",IF(G129="PARENT","Вернуться туда, откуда открыто",IFERROR(INDEX(Реестр!$C:$C,MATCH(G129,Реестр!$A:$A,0)),"⚠ нет в реестре"))))</f>
        <v>Шахматка (день)</v>
      </c>
      <c r="I129" s="5"/>
      <c r="J129" s="10" t="s">
        <v>297</v>
      </c>
    </row>
    <row r="130" customFormat="false" ht="15" hidden="false" customHeight="false" outlineLevel="0" collapsed="false">
      <c r="A130" s="5" t="s">
        <v>657</v>
      </c>
      <c r="B130" s="5" t="s">
        <v>37</v>
      </c>
      <c r="C130" s="5" t="s">
        <v>196</v>
      </c>
      <c r="D130" s="11" t="str">
        <f aca="false">IFERROR(INDEX(Реестр!$C:$C,MATCH(C130,Реестр!$A:$A,0)),"⚠ нет в реестре")</f>
        <v>Диалог переноса</v>
      </c>
      <c r="E130" s="5" t="s">
        <v>587</v>
      </c>
      <c r="F130" s="5" t="s">
        <v>492</v>
      </c>
      <c r="G130" s="5" t="s">
        <v>193</v>
      </c>
      <c r="H130" s="11" t="str">
        <f aca="false">IF(G130="ANCHOR","Прокрутка к секции",IF(G130="EXT","Внешняя ссылка",IF(G130="PARENT","Вернуться туда, откуда открыто",IFERROR(INDEX(Реестр!$C:$C,MATCH(G130,Реестр!$A:$A,0)),"⚠ нет в реестре"))))</f>
        <v>Поповер записи</v>
      </c>
      <c r="I130" s="5"/>
      <c r="J130" s="10" t="s">
        <v>297</v>
      </c>
    </row>
    <row r="131" customFormat="false" ht="15" hidden="false" customHeight="false" outlineLevel="0" collapsed="false">
      <c r="A131" s="5" t="s">
        <v>658</v>
      </c>
      <c r="B131" s="5" t="s">
        <v>37</v>
      </c>
      <c r="C131" s="5" t="s">
        <v>198</v>
      </c>
      <c r="D131" s="11" t="str">
        <f aca="false">IFERROR(INDEX(Реестр!$C:$C,MATCH(C131,Реестр!$A:$A,0)),"⚠ нет в реестре")</f>
        <v>Диалог отмены</v>
      </c>
      <c r="E131" s="5" t="s">
        <v>540</v>
      </c>
      <c r="F131" s="5" t="s">
        <v>190</v>
      </c>
      <c r="G131" s="5" t="s">
        <v>224</v>
      </c>
      <c r="H131" s="11" t="str">
        <f aca="false">IF(G131="ANCHOR","Прокрутка к секции",IF(G131="EXT","Внешняя ссылка",IF(G131="PARENT","Вернуться туда, откуда открыто",IFERROR(INDEX(Реестр!$C:$C,MATCH(G131,Реестр!$A:$A,0)),"⚠ нет в реестре"))))</f>
        <v>Панель «Освободился слот»</v>
      </c>
      <c r="I131" s="5" t="s">
        <v>659</v>
      </c>
      <c r="J131" s="10" t="s">
        <v>297</v>
      </c>
    </row>
    <row r="132" customFormat="false" ht="15" hidden="false" customHeight="false" outlineLevel="0" collapsed="false">
      <c r="A132" s="5" t="s">
        <v>660</v>
      </c>
      <c r="B132" s="5" t="s">
        <v>37</v>
      </c>
      <c r="C132" s="5" t="s">
        <v>198</v>
      </c>
      <c r="D132" s="11" t="str">
        <f aca="false">IFERROR(INDEX(Реестр!$C:$C,MATCH(C132,Реестр!$A:$A,0)),"⚠ нет в реестре")</f>
        <v>Диалог отмены</v>
      </c>
      <c r="E132" s="5" t="s">
        <v>542</v>
      </c>
      <c r="F132" s="5" t="s">
        <v>492</v>
      </c>
      <c r="G132" s="5" t="s">
        <v>193</v>
      </c>
      <c r="H132" s="11" t="str">
        <f aca="false">IF(G132="ANCHOR","Прокрутка к секции",IF(G132="EXT","Внешняя ссылка",IF(G132="PARENT","Вернуться туда, откуда открыто",IFERROR(INDEX(Реестр!$C:$C,MATCH(G132,Реестр!$A:$A,0)),"⚠ нет в реестре"))))</f>
        <v>Поповер записи</v>
      </c>
      <c r="I132" s="5"/>
      <c r="J132" s="10" t="s">
        <v>297</v>
      </c>
    </row>
    <row r="133" customFormat="false" ht="15" hidden="false" customHeight="false" outlineLevel="0" collapsed="false">
      <c r="A133" s="5" t="s">
        <v>661</v>
      </c>
      <c r="B133" s="5" t="s">
        <v>37</v>
      </c>
      <c r="C133" s="5" t="s">
        <v>200</v>
      </c>
      <c r="D133" s="11" t="str">
        <f aca="false">IFERROR(INDEX(Реестр!$C:$C,MATCH(C133,Реестр!$A:$A,0)),"⚠ нет в реестре")</f>
        <v>Диалог неявки</v>
      </c>
      <c r="E133" s="5" t="s">
        <v>662</v>
      </c>
      <c r="F133" s="5" t="s">
        <v>492</v>
      </c>
      <c r="G133" s="5" t="s">
        <v>179</v>
      </c>
      <c r="H133" s="11" t="str">
        <f aca="false">IF(G133="ANCHOR","Прокрутка к секции",IF(G133="EXT","Внешняя ссылка",IF(G133="PARENT","Вернуться туда, откуда открыто",IFERROR(INDEX(Реестр!$C:$C,MATCH(G133,Реестр!$A:$A,0)),"⚠ нет в реестре"))))</f>
        <v>Шахматка (день)</v>
      </c>
      <c r="I133" s="5"/>
      <c r="J133" s="10" t="s">
        <v>297</v>
      </c>
    </row>
    <row r="134" customFormat="false" ht="15" hidden="false" customHeight="false" outlineLevel="0" collapsed="false">
      <c r="A134" s="5" t="s">
        <v>663</v>
      </c>
      <c r="B134" s="5" t="s">
        <v>37</v>
      </c>
      <c r="C134" s="5" t="s">
        <v>200</v>
      </c>
      <c r="D134" s="11" t="str">
        <f aca="false">IFERROR(INDEX(Реестр!$C:$C,MATCH(C134,Реестр!$A:$A,0)),"⚠ нет в реестре")</f>
        <v>Диалог неявки</v>
      </c>
      <c r="E134" s="5" t="s">
        <v>587</v>
      </c>
      <c r="F134" s="5" t="s">
        <v>492</v>
      </c>
      <c r="G134" s="5" t="s">
        <v>193</v>
      </c>
      <c r="H134" s="11" t="str">
        <f aca="false">IF(G134="ANCHOR","Прокрутка к секции",IF(G134="EXT","Внешняя ссылка",IF(G134="PARENT","Вернуться туда, откуда открыто",IFERROR(INDEX(Реестр!$C:$C,MATCH(G134,Реестр!$A:$A,0)),"⚠ нет в реестре"))))</f>
        <v>Поповер записи</v>
      </c>
      <c r="I134" s="5"/>
      <c r="J134" s="10" t="s">
        <v>297</v>
      </c>
    </row>
    <row r="135" customFormat="false" ht="15" hidden="false" customHeight="false" outlineLevel="0" collapsed="false">
      <c r="A135" s="5" t="s">
        <v>664</v>
      </c>
      <c r="B135" s="5" t="s">
        <v>37</v>
      </c>
      <c r="C135" s="5" t="s">
        <v>202</v>
      </c>
      <c r="D135" s="11" t="str">
        <f aca="false">IFERROR(INDEX(Реестр!$C:$C,MATCH(C135,Реестр!$A:$A,0)),"⚠ нет в реестре")</f>
        <v>Клиенты (список)</v>
      </c>
      <c r="E135" s="5" t="s">
        <v>609</v>
      </c>
      <c r="F135" s="5" t="s">
        <v>190</v>
      </c>
      <c r="G135" s="5" t="s">
        <v>203</v>
      </c>
      <c r="H135" s="11" t="str">
        <f aca="false">IF(G135="ANCHOR","Прокрутка к секции",IF(G135="EXT","Внешняя ссылка",IF(G135="PARENT","Вернуться туда, откуда открыто",IFERROR(INDEX(Реестр!$C:$C,MATCH(G135,Реестр!$A:$A,0)),"⚠ нет в реестре"))))</f>
        <v>Быстрый просмотр клиента</v>
      </c>
      <c r="I135" s="5"/>
      <c r="J135" s="10" t="s">
        <v>297</v>
      </c>
    </row>
    <row r="136" customFormat="false" ht="23.85" hidden="false" customHeight="false" outlineLevel="0" collapsed="false">
      <c r="A136" s="5" t="s">
        <v>665</v>
      </c>
      <c r="B136" s="5" t="s">
        <v>37</v>
      </c>
      <c r="C136" s="5" t="s">
        <v>202</v>
      </c>
      <c r="D136" s="11" t="str">
        <f aca="false">IFERROR(INDEX(Реестр!$C:$C,MATCH(C136,Реестр!$A:$A,0)),"⚠ нет в реестре")</f>
        <v>Клиенты (список)</v>
      </c>
      <c r="E136" s="5" t="s">
        <v>666</v>
      </c>
      <c r="F136" s="5" t="s">
        <v>100</v>
      </c>
      <c r="G136" s="5" t="s">
        <v>207</v>
      </c>
      <c r="H136" s="11" t="str">
        <f aca="false">IF(G136="ANCHOR","Прокрутка к секции",IF(G136="EXT","Внешняя ссылка",IF(G136="PARENT","Вернуться туда, откуда открыто",IFERROR(INDEX(Реестр!$C:$C,MATCH(G136,Реестр!$A:$A,0)),"⚠ нет в реестре"))))</f>
        <v>Форма клиента (новый / редактирование)</v>
      </c>
      <c r="I136" s="5"/>
      <c r="J136" s="10" t="s">
        <v>297</v>
      </c>
    </row>
    <row r="137" customFormat="false" ht="15" hidden="false" customHeight="false" outlineLevel="0" collapsed="false">
      <c r="A137" s="5" t="s">
        <v>667</v>
      </c>
      <c r="B137" s="5" t="s">
        <v>37</v>
      </c>
      <c r="C137" s="5" t="s">
        <v>202</v>
      </c>
      <c r="D137" s="11" t="str">
        <f aca="false">IFERROR(INDEX(Реестр!$C:$C,MATCH(C137,Реестр!$A:$A,0)),"⚠ нет в реестре")</f>
        <v>Клиенты (список)</v>
      </c>
      <c r="E137" s="5" t="s">
        <v>668</v>
      </c>
      <c r="F137" s="5" t="s">
        <v>100</v>
      </c>
      <c r="G137" s="5" t="s">
        <v>253</v>
      </c>
      <c r="H137" s="11" t="str">
        <f aca="false">IF(G137="ANCHOR","Прокрутка к секции",IF(G137="EXT","Внешняя ссылка",IF(G137="PARENT","Вернуться туда, откуда открыто",IFERROR(INDEX(Реестр!$C:$C,MATCH(G137,Реестр!$A:$A,0)),"⚠ нет в реестре"))))</f>
        <v>Требуются расширенные права</v>
      </c>
      <c r="I137" s="5"/>
      <c r="J137" s="10" t="s">
        <v>297</v>
      </c>
    </row>
    <row r="138" customFormat="false" ht="15" hidden="false" customHeight="false" outlineLevel="0" collapsed="false">
      <c r="A138" s="5" t="s">
        <v>669</v>
      </c>
      <c r="B138" s="5" t="s">
        <v>37</v>
      </c>
      <c r="C138" s="5" t="s">
        <v>202</v>
      </c>
      <c r="D138" s="11" t="str">
        <f aca="false">IFERROR(INDEX(Реестр!$C:$C,MATCH(C138,Реестр!$A:$A,0)),"⚠ нет в реестре")</f>
        <v>Клиенты (список)</v>
      </c>
      <c r="E138" s="5" t="s">
        <v>670</v>
      </c>
      <c r="F138" s="5" t="s">
        <v>311</v>
      </c>
      <c r="G138" s="5" t="s">
        <v>242</v>
      </c>
      <c r="H138" s="11" t="str">
        <f aca="false">IF(G138="ANCHOR","Прокрутка к секции",IF(G138="EXT","Внешняя ссылка",IF(G138="PARENT","Вернуться туда, откуда открыто",IFERROR(INDEX(Реестр!$C:$C,MATCH(G138,Реестр!$A:$A,0)),"⚠ нет в реестре"))))</f>
        <v>Рассылка</v>
      </c>
      <c r="I138" s="5"/>
      <c r="J138" s="10" t="s">
        <v>297</v>
      </c>
    </row>
    <row r="139" customFormat="false" ht="15" hidden="false" customHeight="false" outlineLevel="0" collapsed="false">
      <c r="A139" s="5" t="s">
        <v>671</v>
      </c>
      <c r="B139" s="5" t="s">
        <v>37</v>
      </c>
      <c r="C139" s="5" t="s">
        <v>203</v>
      </c>
      <c r="D139" s="11" t="str">
        <f aca="false">IFERROR(INDEX(Реестр!$C:$C,MATCH(C139,Реестр!$A:$A,0)),"⚠ нет в реестре")</f>
        <v>Быстрый просмотр клиента</v>
      </c>
      <c r="E139" s="5" t="s">
        <v>672</v>
      </c>
      <c r="F139" s="5" t="s">
        <v>190</v>
      </c>
      <c r="G139" s="5" t="s">
        <v>188</v>
      </c>
      <c r="H139" s="11" t="str">
        <f aca="false">IF(G139="ANCHOR","Прокрутка к секции",IF(G139="EXT","Внешняя ссылка",IF(G139="PARENT","Вернуться туда, откуда открыто",IFERROR(INDEX(Реестр!$C:$C,MATCH(G139,Реестр!$A:$A,0)),"⚠ нет в реестре"))))</f>
        <v>Панель создания записи</v>
      </c>
      <c r="I139" s="5"/>
      <c r="J139" s="10" t="s">
        <v>297</v>
      </c>
    </row>
    <row r="140" customFormat="false" ht="15" hidden="false" customHeight="false" outlineLevel="0" collapsed="false">
      <c r="A140" s="5" t="s">
        <v>673</v>
      </c>
      <c r="B140" s="5" t="s">
        <v>37</v>
      </c>
      <c r="C140" s="5" t="s">
        <v>203</v>
      </c>
      <c r="D140" s="11" t="str">
        <f aca="false">IFERROR(INDEX(Реестр!$C:$C,MATCH(C140,Реестр!$A:$A,0)),"⚠ нет в реестре")</f>
        <v>Быстрый просмотр клиента</v>
      </c>
      <c r="E140" s="5" t="s">
        <v>674</v>
      </c>
      <c r="F140" s="5" t="s">
        <v>311</v>
      </c>
      <c r="G140" s="5" t="s">
        <v>205</v>
      </c>
      <c r="H140" s="11" t="str">
        <f aca="false">IF(G140="ANCHOR","Прокрутка к секции",IF(G140="EXT","Внешняя ссылка",IF(G140="PARENT","Вернуться туда, откуда открыто",IFERROR(INDEX(Реестр!$C:$C,MATCH(G140,Реестр!$A:$A,0)),"⚠ нет в реестре"))))</f>
        <v>Карточка клиента (полная)</v>
      </c>
      <c r="I140" s="5"/>
      <c r="J140" s="10" t="s">
        <v>297</v>
      </c>
    </row>
    <row r="141" customFormat="false" ht="15" hidden="false" customHeight="false" outlineLevel="0" collapsed="false">
      <c r="A141" s="5" t="s">
        <v>675</v>
      </c>
      <c r="B141" s="5" t="s">
        <v>37</v>
      </c>
      <c r="C141" s="5" t="s">
        <v>203</v>
      </c>
      <c r="D141" s="11" t="str">
        <f aca="false">IFERROR(INDEX(Реестр!$C:$C,MATCH(C141,Реестр!$A:$A,0)),"⚠ нет в реестре")</f>
        <v>Быстрый просмотр клиента</v>
      </c>
      <c r="E141" s="5" t="s">
        <v>612</v>
      </c>
      <c r="F141" s="5" t="s">
        <v>326</v>
      </c>
      <c r="G141" s="5" t="s">
        <v>327</v>
      </c>
      <c r="H141" s="11" t="str">
        <f aca="false">IF(G141="ANCHOR","Прокрутка к секции",IF(G141="EXT","Внешняя ссылка",IF(G141="PARENT","Вернуться туда, откуда открыто",IFERROR(INDEX(Реестр!$C:$C,MATCH(G141,Реестр!$A:$A,0)),"⚠ нет в реестре"))))</f>
        <v>Внешняя ссылка</v>
      </c>
      <c r="I141" s="5"/>
      <c r="J141" s="10" t="s">
        <v>297</v>
      </c>
    </row>
    <row r="142" customFormat="false" ht="15" hidden="false" customHeight="false" outlineLevel="0" collapsed="false">
      <c r="A142" s="5" t="s">
        <v>676</v>
      </c>
      <c r="B142" s="5" t="s">
        <v>37</v>
      </c>
      <c r="C142" s="5" t="s">
        <v>203</v>
      </c>
      <c r="D142" s="11" t="str">
        <f aca="false">IFERROR(INDEX(Реестр!$C:$C,MATCH(C142,Реестр!$A:$A,0)),"⚠ нет в реестре")</f>
        <v>Быстрый просмотр клиента</v>
      </c>
      <c r="E142" s="5" t="s">
        <v>545</v>
      </c>
      <c r="F142" s="5" t="s">
        <v>492</v>
      </c>
      <c r="G142" s="5" t="s">
        <v>202</v>
      </c>
      <c r="H142" s="11" t="str">
        <f aca="false">IF(G142="ANCHOR","Прокрутка к секции",IF(G142="EXT","Внешняя ссылка",IF(G142="PARENT","Вернуться туда, откуда открыто",IFERROR(INDEX(Реестр!$C:$C,MATCH(G142,Реестр!$A:$A,0)),"⚠ нет в реестре"))))</f>
        <v>Клиенты (список)</v>
      </c>
      <c r="I142" s="5"/>
      <c r="J142" s="10" t="s">
        <v>297</v>
      </c>
    </row>
    <row r="143" customFormat="false" ht="15" hidden="false" customHeight="false" outlineLevel="0" collapsed="false">
      <c r="A143" s="5" t="s">
        <v>677</v>
      </c>
      <c r="B143" s="5" t="s">
        <v>37</v>
      </c>
      <c r="C143" s="5" t="s">
        <v>205</v>
      </c>
      <c r="D143" s="11" t="str">
        <f aca="false">IFERROR(INDEX(Реестр!$C:$C,MATCH(C143,Реестр!$A:$A,0)),"⚠ нет в реестре")</f>
        <v>Карточка клиента (полная)</v>
      </c>
      <c r="E143" s="5" t="s">
        <v>672</v>
      </c>
      <c r="F143" s="5" t="s">
        <v>190</v>
      </c>
      <c r="G143" s="5" t="s">
        <v>188</v>
      </c>
      <c r="H143" s="11" t="str">
        <f aca="false">IF(G143="ANCHOR","Прокрутка к секции",IF(G143="EXT","Внешняя ссылка",IF(G143="PARENT","Вернуться туда, откуда открыто",IFERROR(INDEX(Реестр!$C:$C,MATCH(G143,Реестр!$A:$A,0)),"⚠ нет в реестре"))))</f>
        <v>Панель создания записи</v>
      </c>
      <c r="I143" s="5"/>
      <c r="J143" s="10" t="s">
        <v>297</v>
      </c>
    </row>
    <row r="144" customFormat="false" ht="15" hidden="false" customHeight="false" outlineLevel="0" collapsed="false">
      <c r="A144" s="5" t="s">
        <v>678</v>
      </c>
      <c r="B144" s="5" t="s">
        <v>37</v>
      </c>
      <c r="C144" s="5" t="s">
        <v>205</v>
      </c>
      <c r="D144" s="11" t="str">
        <f aca="false">IFERROR(INDEX(Реестр!$C:$C,MATCH(C144,Реестр!$A:$A,0)),"⚠ нет в реестре")</f>
        <v>Карточка клиента (полная)</v>
      </c>
      <c r="E144" s="5" t="s">
        <v>679</v>
      </c>
      <c r="F144" s="5" t="s">
        <v>311</v>
      </c>
      <c r="G144" s="5" t="s">
        <v>240</v>
      </c>
      <c r="H144" s="11" t="str">
        <f aca="false">IF(G144="ANCHOR","Прокрутка к секции",IF(G144="EXT","Внешняя ссылка",IF(G144="PARENT","Вернуться туда, откуда открыто",IFERROR(INDEX(Реестр!$C:$C,MATCH(G144,Реестр!$A:$A,0)),"⚠ нет в реестре"))))</f>
        <v>Диалог с клиентом</v>
      </c>
      <c r="I144" s="5"/>
      <c r="J144" s="10" t="s">
        <v>297</v>
      </c>
    </row>
    <row r="145" customFormat="false" ht="23.85" hidden="false" customHeight="false" outlineLevel="0" collapsed="false">
      <c r="A145" s="5" t="s">
        <v>680</v>
      </c>
      <c r="B145" s="5" t="s">
        <v>37</v>
      </c>
      <c r="C145" s="5" t="s">
        <v>205</v>
      </c>
      <c r="D145" s="11" t="str">
        <f aca="false">IFERROR(INDEX(Реестр!$C:$C,MATCH(C145,Реестр!$A:$A,0)),"⚠ нет в реестре")</f>
        <v>Карточка клиента (полная)</v>
      </c>
      <c r="E145" s="5" t="s">
        <v>614</v>
      </c>
      <c r="F145" s="5" t="s">
        <v>100</v>
      </c>
      <c r="G145" s="5" t="s">
        <v>207</v>
      </c>
      <c r="H145" s="11" t="str">
        <f aca="false">IF(G145="ANCHOR","Прокрутка к секции",IF(G145="EXT","Внешняя ссылка",IF(G145="PARENT","Вернуться туда, откуда открыто",IFERROR(INDEX(Реестр!$C:$C,MATCH(G145,Реестр!$A:$A,0)),"⚠ нет в реестре"))))</f>
        <v>Форма клиента (новый / редактирование)</v>
      </c>
      <c r="I145" s="5"/>
      <c r="J145" s="10" t="s">
        <v>297</v>
      </c>
    </row>
    <row r="146" customFormat="false" ht="15" hidden="false" customHeight="false" outlineLevel="0" collapsed="false">
      <c r="A146" s="5" t="s">
        <v>681</v>
      </c>
      <c r="B146" s="5" t="s">
        <v>37</v>
      </c>
      <c r="C146" s="5" t="s">
        <v>205</v>
      </c>
      <c r="D146" s="11" t="str">
        <f aca="false">IFERROR(INDEX(Реестр!$C:$C,MATCH(C146,Реестр!$A:$A,0)),"⚠ нет в реестре")</f>
        <v>Карточка клиента (полная)</v>
      </c>
      <c r="E146" s="5" t="s">
        <v>682</v>
      </c>
      <c r="F146" s="5" t="s">
        <v>100</v>
      </c>
      <c r="G146" s="5" t="s">
        <v>210</v>
      </c>
      <c r="H146" s="11" t="str">
        <f aca="false">IF(G146="ANCHOR","Прокрутка к секции",IF(G146="EXT","Внешняя ссылка",IF(G146="PARENT","Вернуться туда, откуда открыто",IFERROR(INDEX(Реестр!$C:$C,MATCH(G146,Реестр!$A:$A,0)),"⚠ нет в реестре"))))</f>
        <v>В чёрный список</v>
      </c>
      <c r="I146" s="5"/>
      <c r="J146" s="10" t="s">
        <v>297</v>
      </c>
    </row>
    <row r="147" customFormat="false" ht="15" hidden="false" customHeight="false" outlineLevel="0" collapsed="false">
      <c r="A147" s="5" t="s">
        <v>683</v>
      </c>
      <c r="B147" s="5" t="s">
        <v>37</v>
      </c>
      <c r="C147" s="5" t="s">
        <v>205</v>
      </c>
      <c r="D147" s="11" t="str">
        <f aca="false">IFERROR(INDEX(Реестр!$C:$C,MATCH(C147,Реестр!$A:$A,0)),"⚠ нет в реестре")</f>
        <v>Карточка клиента (полная)</v>
      </c>
      <c r="E147" s="5" t="s">
        <v>684</v>
      </c>
      <c r="F147" s="5" t="s">
        <v>195</v>
      </c>
      <c r="G147" s="5" t="s">
        <v>193</v>
      </c>
      <c r="H147" s="11" t="str">
        <f aca="false">IF(G147="ANCHOR","Прокрутка к секции",IF(G147="EXT","Внешняя ссылка",IF(G147="PARENT","Вернуться туда, откуда открыто",IFERROR(INDEX(Реестр!$C:$C,MATCH(G147,Реестр!$A:$A,0)),"⚠ нет в реестре"))))</f>
        <v>Поповер записи</v>
      </c>
      <c r="I147" s="5"/>
      <c r="J147" s="10" t="s">
        <v>297</v>
      </c>
    </row>
    <row r="148" customFormat="false" ht="15" hidden="false" customHeight="false" outlineLevel="0" collapsed="false">
      <c r="A148" s="5" t="s">
        <v>685</v>
      </c>
      <c r="B148" s="5" t="s">
        <v>37</v>
      </c>
      <c r="C148" s="5" t="s">
        <v>205</v>
      </c>
      <c r="D148" s="11" t="str">
        <f aca="false">IFERROR(INDEX(Реестр!$C:$C,MATCH(C148,Реестр!$A:$A,0)),"⚠ нет в реестре")</f>
        <v>Карточка клиента (полная)</v>
      </c>
      <c r="E148" s="5" t="s">
        <v>686</v>
      </c>
      <c r="F148" s="5" t="s">
        <v>428</v>
      </c>
      <c r="G148" s="5" t="s">
        <v>202</v>
      </c>
      <c r="H148" s="11" t="str">
        <f aca="false">IF(G148="ANCHOR","Прокрутка к секции",IF(G148="EXT","Внешняя ссылка",IF(G148="PARENT","Вернуться туда, откуда открыто",IFERROR(INDEX(Реестр!$C:$C,MATCH(G148,Реестр!$A:$A,0)),"⚠ нет в реестре"))))</f>
        <v>Клиенты (список)</v>
      </c>
      <c r="I148" s="5"/>
      <c r="J148" s="10" t="s">
        <v>297</v>
      </c>
    </row>
    <row r="149" customFormat="false" ht="23.85" hidden="false" customHeight="false" outlineLevel="0" collapsed="false">
      <c r="A149" s="5" t="s">
        <v>687</v>
      </c>
      <c r="B149" s="5" t="s">
        <v>37</v>
      </c>
      <c r="C149" s="5" t="s">
        <v>207</v>
      </c>
      <c r="D149" s="11" t="str">
        <f aca="false">IFERROR(INDEX(Реестр!$C:$C,MATCH(C149,Реестр!$A:$A,0)),"⚠ нет в реестре")</f>
        <v>Форма клиента (новый / редактирование)</v>
      </c>
      <c r="E149" s="5" t="s">
        <v>442</v>
      </c>
      <c r="F149" s="5" t="s">
        <v>311</v>
      </c>
      <c r="G149" s="5" t="s">
        <v>205</v>
      </c>
      <c r="H149" s="11" t="str">
        <f aca="false">IF(G149="ANCHOR","Прокрутка к секции",IF(G149="EXT","Внешняя ссылка",IF(G149="PARENT","Вернуться туда, откуда открыто",IFERROR(INDEX(Реестр!$C:$C,MATCH(G149,Реестр!$A:$A,0)),"⚠ нет в реестре"))))</f>
        <v>Карточка клиента (полная)</v>
      </c>
      <c r="I149" s="5"/>
      <c r="J149" s="10" t="s">
        <v>297</v>
      </c>
    </row>
    <row r="150" customFormat="false" ht="23.85" hidden="false" customHeight="false" outlineLevel="0" collapsed="false">
      <c r="A150" s="5" t="s">
        <v>688</v>
      </c>
      <c r="B150" s="5" t="s">
        <v>37</v>
      </c>
      <c r="C150" s="5" t="s">
        <v>207</v>
      </c>
      <c r="D150" s="11" t="str">
        <f aca="false">IFERROR(INDEX(Реестр!$C:$C,MATCH(C150,Реестр!$A:$A,0)),"⚠ нет в реестре")</f>
        <v>Форма клиента (новый / редактирование)</v>
      </c>
      <c r="E150" s="5" t="s">
        <v>587</v>
      </c>
      <c r="F150" s="5" t="s">
        <v>492</v>
      </c>
      <c r="G150" s="5" t="s">
        <v>689</v>
      </c>
      <c r="H150" s="11" t="str">
        <f aca="false">IF(G150="ANCHOR","Прокрутка к секции",IF(G150="EXT","Внешняя ссылка",IF(G150="PARENT","Вернуться туда, откуда открыто",IFERROR(INDEX(Реестр!$C:$C,MATCH(G150,Реестр!$A:$A,0)),"⚠ нет в реестре"))))</f>
        <v>Вернуться туда, откуда открыто</v>
      </c>
      <c r="I150" s="5"/>
      <c r="J150" s="10" t="s">
        <v>297</v>
      </c>
    </row>
    <row r="151" customFormat="false" ht="15" hidden="false" customHeight="false" outlineLevel="0" collapsed="false">
      <c r="A151" s="5" t="s">
        <v>690</v>
      </c>
      <c r="B151" s="5" t="s">
        <v>37</v>
      </c>
      <c r="C151" s="5" t="s">
        <v>210</v>
      </c>
      <c r="D151" s="11" t="str">
        <f aca="false">IFERROR(INDEX(Реестр!$C:$C,MATCH(C151,Реестр!$A:$A,0)),"⚠ нет в реестре")</f>
        <v>В чёрный список</v>
      </c>
      <c r="E151" s="5" t="s">
        <v>456</v>
      </c>
      <c r="F151" s="5" t="s">
        <v>492</v>
      </c>
      <c r="G151" s="5" t="s">
        <v>205</v>
      </c>
      <c r="H151" s="11" t="str">
        <f aca="false">IF(G151="ANCHOR","Прокрутка к секции",IF(G151="EXT","Внешняя ссылка",IF(G151="PARENT","Вернуться туда, откуда открыто",IFERROR(INDEX(Реестр!$C:$C,MATCH(G151,Реестр!$A:$A,0)),"⚠ нет в реестре"))))</f>
        <v>Карточка клиента (полная)</v>
      </c>
      <c r="I151" s="5"/>
      <c r="J151" s="10" t="s">
        <v>297</v>
      </c>
    </row>
    <row r="152" customFormat="false" ht="15" hidden="false" customHeight="false" outlineLevel="0" collapsed="false">
      <c r="A152" s="5" t="s">
        <v>691</v>
      </c>
      <c r="B152" s="5" t="s">
        <v>37</v>
      </c>
      <c r="C152" s="5" t="s">
        <v>210</v>
      </c>
      <c r="D152" s="11" t="str">
        <f aca="false">IFERROR(INDEX(Реестр!$C:$C,MATCH(C152,Реестр!$A:$A,0)),"⚠ нет в реестре")</f>
        <v>В чёрный список</v>
      </c>
      <c r="E152" s="5" t="s">
        <v>587</v>
      </c>
      <c r="F152" s="5" t="s">
        <v>492</v>
      </c>
      <c r="G152" s="5" t="s">
        <v>205</v>
      </c>
      <c r="H152" s="11" t="str">
        <f aca="false">IF(G152="ANCHOR","Прокрутка к секции",IF(G152="EXT","Внешняя ссылка",IF(G152="PARENT","Вернуться туда, откуда открыто",IFERROR(INDEX(Реестр!$C:$C,MATCH(G152,Реестр!$A:$A,0)),"⚠ нет в реестре"))))</f>
        <v>Карточка клиента (полная)</v>
      </c>
      <c r="I152" s="5"/>
      <c r="J152" s="10" t="s">
        <v>297</v>
      </c>
    </row>
    <row r="153" customFormat="false" ht="23.85" hidden="false" customHeight="false" outlineLevel="0" collapsed="false">
      <c r="A153" s="5" t="s">
        <v>692</v>
      </c>
      <c r="B153" s="5" t="s">
        <v>37</v>
      </c>
      <c r="C153" s="5" t="s">
        <v>212</v>
      </c>
      <c r="D153" s="11" t="str">
        <f aca="false">IFERROR(INDEX(Реестр!$C:$C,MATCH(C153,Реестр!$A:$A,0)),"⚠ нет в реестре")</f>
        <v>Оплаты (смена)</v>
      </c>
      <c r="E153" s="5" t="s">
        <v>693</v>
      </c>
      <c r="F153" s="5" t="s">
        <v>100</v>
      </c>
      <c r="G153" s="5" t="s">
        <v>214</v>
      </c>
      <c r="H153" s="11" t="str">
        <f aca="false">IF(G153="ANCHOR","Прокрутка к секции",IF(G153="EXT","Внешняя ссылка",IF(G153="PARENT","Вернуться туда, откуда открыто",IFERROR(INDEX(Реестр!$C:$C,MATCH(G153,Реестр!$A:$A,0)),"⚠ нет в реестре"))))</f>
        <v>Диалог «Принять оплату»</v>
      </c>
      <c r="I153" s="5"/>
      <c r="J153" s="10" t="s">
        <v>297</v>
      </c>
    </row>
    <row r="154" customFormat="false" ht="15" hidden="false" customHeight="false" outlineLevel="0" collapsed="false">
      <c r="A154" s="5" t="s">
        <v>694</v>
      </c>
      <c r="B154" s="5" t="s">
        <v>37</v>
      </c>
      <c r="C154" s="5" t="s">
        <v>212</v>
      </c>
      <c r="D154" s="11" t="str">
        <f aca="false">IFERROR(INDEX(Реестр!$C:$C,MATCH(C154,Реестр!$A:$A,0)),"⚠ нет в реестре")</f>
        <v>Оплаты (смена)</v>
      </c>
      <c r="E154" s="5" t="s">
        <v>695</v>
      </c>
      <c r="F154" s="5" t="s">
        <v>100</v>
      </c>
      <c r="G154" s="5" t="s">
        <v>216</v>
      </c>
      <c r="H154" s="11" t="str">
        <f aca="false">IF(G154="ANCHOR","Прокрутка к секции",IF(G154="EXT","Внешняя ссылка",IF(G154="PARENT","Вернуться туда, откуда открыто",IFERROR(INDEX(Реестр!$C:$C,MATCH(G154,Реестр!$A:$A,0)),"⚠ нет в реестре"))))</f>
        <v>Диалог возврата</v>
      </c>
      <c r="I154" s="5"/>
      <c r="J154" s="10" t="s">
        <v>297</v>
      </c>
    </row>
    <row r="155" customFormat="false" ht="15" hidden="false" customHeight="false" outlineLevel="0" collapsed="false">
      <c r="A155" s="5" t="s">
        <v>696</v>
      </c>
      <c r="B155" s="5" t="s">
        <v>37</v>
      </c>
      <c r="C155" s="5" t="s">
        <v>212</v>
      </c>
      <c r="D155" s="11" t="str">
        <f aca="false">IFERROR(INDEX(Реестр!$C:$C,MATCH(C155,Реестр!$A:$A,0)),"⚠ нет в реестре")</f>
        <v>Оплаты (смена)</v>
      </c>
      <c r="E155" s="5" t="s">
        <v>697</v>
      </c>
      <c r="F155" s="5" t="s">
        <v>311</v>
      </c>
      <c r="G155" s="5" t="s">
        <v>218</v>
      </c>
      <c r="H155" s="11" t="str">
        <f aca="false">IF(G155="ANCHOR","Прокрутка к секции",IF(G155="EXT","Внешняя ссылка",IF(G155="PARENT","Вернуться туда, откуда открыто",IFERROR(INDEX(Реестр!$C:$C,MATCH(G155,Реестр!$A:$A,0)),"⚠ нет в реестре"))))</f>
        <v>Закрытие смены</v>
      </c>
      <c r="I155" s="5"/>
      <c r="J155" s="10" t="s">
        <v>297</v>
      </c>
    </row>
    <row r="156" customFormat="false" ht="15" hidden="false" customHeight="false" outlineLevel="0" collapsed="false">
      <c r="A156" s="5" t="s">
        <v>698</v>
      </c>
      <c r="B156" s="5" t="s">
        <v>37</v>
      </c>
      <c r="C156" s="5" t="s">
        <v>214</v>
      </c>
      <c r="D156" s="11" t="str">
        <f aca="false">IFERROR(INDEX(Реестр!$C:$C,MATCH(C156,Реестр!$A:$A,0)),"⚠ нет в реестре")</f>
        <v>Диалог «Принять оплату»</v>
      </c>
      <c r="E156" s="5" t="s">
        <v>699</v>
      </c>
      <c r="F156" s="5" t="s">
        <v>492</v>
      </c>
      <c r="G156" s="5" t="s">
        <v>689</v>
      </c>
      <c r="H156" s="11" t="str">
        <f aca="false">IF(G156="ANCHOR","Прокрутка к секции",IF(G156="EXT","Внешняя ссылка",IF(G156="PARENT","Вернуться туда, откуда открыто",IFERROR(INDEX(Реестр!$C:$C,MATCH(G156,Реестр!$A:$A,0)),"⚠ нет в реестре"))))</f>
        <v>Вернуться туда, откуда открыто</v>
      </c>
      <c r="I156" s="5"/>
      <c r="J156" s="10" t="s">
        <v>297</v>
      </c>
    </row>
    <row r="157" customFormat="false" ht="15" hidden="false" customHeight="false" outlineLevel="0" collapsed="false">
      <c r="A157" s="5" t="s">
        <v>700</v>
      </c>
      <c r="B157" s="5" t="s">
        <v>37</v>
      </c>
      <c r="C157" s="5" t="s">
        <v>214</v>
      </c>
      <c r="D157" s="11" t="str">
        <f aca="false">IFERROR(INDEX(Реестр!$C:$C,MATCH(C157,Реестр!$A:$A,0)),"⚠ нет в реестре")</f>
        <v>Диалог «Принять оплату»</v>
      </c>
      <c r="E157" s="5" t="s">
        <v>587</v>
      </c>
      <c r="F157" s="5" t="s">
        <v>492</v>
      </c>
      <c r="G157" s="5" t="s">
        <v>689</v>
      </c>
      <c r="H157" s="11" t="str">
        <f aca="false">IF(G157="ANCHOR","Прокрутка к секции",IF(G157="EXT","Внешняя ссылка",IF(G157="PARENT","Вернуться туда, откуда открыто",IFERROR(INDEX(Реестр!$C:$C,MATCH(G157,Реестр!$A:$A,0)),"⚠ нет в реестре"))))</f>
        <v>Вернуться туда, откуда открыто</v>
      </c>
      <c r="I157" s="5"/>
      <c r="J157" s="10" t="s">
        <v>297</v>
      </c>
    </row>
    <row r="158" customFormat="false" ht="15" hidden="false" customHeight="false" outlineLevel="0" collapsed="false">
      <c r="A158" s="5" t="s">
        <v>701</v>
      </c>
      <c r="B158" s="5" t="s">
        <v>37</v>
      </c>
      <c r="C158" s="5" t="s">
        <v>216</v>
      </c>
      <c r="D158" s="11" t="str">
        <f aca="false">IFERROR(INDEX(Реестр!$C:$C,MATCH(C158,Реестр!$A:$A,0)),"⚠ нет в реестре")</f>
        <v>Диалог возврата</v>
      </c>
      <c r="E158" s="5" t="s">
        <v>702</v>
      </c>
      <c r="F158" s="5" t="s">
        <v>492</v>
      </c>
      <c r="G158" s="5" t="s">
        <v>212</v>
      </c>
      <c r="H158" s="11" t="str">
        <f aca="false">IF(G158="ANCHOR","Прокрутка к секции",IF(G158="EXT","Внешняя ссылка",IF(G158="PARENT","Вернуться туда, откуда открыто",IFERROR(INDEX(Реестр!$C:$C,MATCH(G158,Реестр!$A:$A,0)),"⚠ нет в реестре"))))</f>
        <v>Оплаты (смена)</v>
      </c>
      <c r="I158" s="5"/>
      <c r="J158" s="10" t="s">
        <v>297</v>
      </c>
    </row>
    <row r="159" customFormat="false" ht="15" hidden="false" customHeight="false" outlineLevel="0" collapsed="false">
      <c r="A159" s="5" t="s">
        <v>703</v>
      </c>
      <c r="B159" s="5" t="s">
        <v>37</v>
      </c>
      <c r="C159" s="5" t="s">
        <v>216</v>
      </c>
      <c r="D159" s="11" t="str">
        <f aca="false">IFERROR(INDEX(Реестр!$C:$C,MATCH(C159,Реестр!$A:$A,0)),"⚠ нет в реестре")</f>
        <v>Диалог возврата</v>
      </c>
      <c r="E159" s="5" t="s">
        <v>587</v>
      </c>
      <c r="F159" s="5" t="s">
        <v>492</v>
      </c>
      <c r="G159" s="5" t="s">
        <v>212</v>
      </c>
      <c r="H159" s="11" t="str">
        <f aca="false">IF(G159="ANCHOR","Прокрутка к секции",IF(G159="EXT","Внешняя ссылка",IF(G159="PARENT","Вернуться туда, откуда открыто",IFERROR(INDEX(Реестр!$C:$C,MATCH(G159,Реестр!$A:$A,0)),"⚠ нет в реестре"))))</f>
        <v>Оплаты (смена)</v>
      </c>
      <c r="I159" s="5"/>
      <c r="J159" s="10" t="s">
        <v>297</v>
      </c>
    </row>
    <row r="160" customFormat="false" ht="23.85" hidden="false" customHeight="false" outlineLevel="0" collapsed="false">
      <c r="A160" s="5" t="s">
        <v>704</v>
      </c>
      <c r="B160" s="5" t="s">
        <v>37</v>
      </c>
      <c r="C160" s="5" t="s">
        <v>218</v>
      </c>
      <c r="D160" s="11" t="str">
        <f aca="false">IFERROR(INDEX(Реестр!$C:$C,MATCH(C160,Реестр!$A:$A,0)),"⚠ нет в реестре")</f>
        <v>Закрытие смены</v>
      </c>
      <c r="E160" s="5" t="s">
        <v>697</v>
      </c>
      <c r="F160" s="5" t="s">
        <v>100</v>
      </c>
      <c r="G160" s="5" t="s">
        <v>266</v>
      </c>
      <c r="H160" s="11" t="str">
        <f aca="false">IF(G160="ANCHOR","Прокрутка к секции",IF(G160="EXT","Внешняя ссылка",IF(G160="PARENT","Вернуться туда, откуда открыто",IFERROR(INDEX(Реестр!$C:$C,MATCH(G160,Реестр!$A:$A,0)),"⚠ нет в реестре"))))</f>
        <v>Подтверждение необратимого действия</v>
      </c>
      <c r="I160" s="5"/>
      <c r="J160" s="10" t="s">
        <v>297</v>
      </c>
    </row>
    <row r="161" customFormat="false" ht="23.85" hidden="false" customHeight="false" outlineLevel="0" collapsed="false">
      <c r="A161" s="5" t="s">
        <v>705</v>
      </c>
      <c r="B161" s="5" t="s">
        <v>37</v>
      </c>
      <c r="C161" s="5" t="s">
        <v>218</v>
      </c>
      <c r="D161" s="11" t="str">
        <f aca="false">IFERROR(INDEX(Реестр!$C:$C,MATCH(C161,Реестр!$A:$A,0)),"⚠ нет в реестре")</f>
        <v>Закрытие смены</v>
      </c>
      <c r="E161" s="5" t="s">
        <v>706</v>
      </c>
      <c r="F161" s="5" t="s">
        <v>100</v>
      </c>
      <c r="G161" s="5" t="s">
        <v>262</v>
      </c>
      <c r="H161" s="11" t="str">
        <f aca="false">IF(G161="ANCHOR","Прокрутка к секции",IF(G161="EXT","Внешняя ссылка",IF(G161="PARENT","Вернуться туда, откуда открыто",IFERROR(INDEX(Реестр!$C:$C,MATCH(G161,Реестр!$A:$A,0)),"⚠ нет в реестре"))))</f>
        <v>Незакрытые оплаты при закрытии смены</v>
      </c>
      <c r="I161" s="5" t="s">
        <v>448</v>
      </c>
      <c r="J161" s="10" t="s">
        <v>297</v>
      </c>
    </row>
    <row r="162" customFormat="false" ht="15" hidden="false" customHeight="false" outlineLevel="0" collapsed="false">
      <c r="A162" s="5" t="s">
        <v>707</v>
      </c>
      <c r="B162" s="5" t="s">
        <v>37</v>
      </c>
      <c r="C162" s="5" t="s">
        <v>218</v>
      </c>
      <c r="D162" s="11" t="str">
        <f aca="false">IFERROR(INDEX(Реестр!$C:$C,MATCH(C162,Реестр!$A:$A,0)),"⚠ нет в реестре")</f>
        <v>Закрытие смены</v>
      </c>
      <c r="E162" s="5" t="s">
        <v>708</v>
      </c>
      <c r="F162" s="5" t="s">
        <v>100</v>
      </c>
      <c r="G162" s="5" t="s">
        <v>214</v>
      </c>
      <c r="H162" s="11" t="str">
        <f aca="false">IF(G162="ANCHOR","Прокрутка к секции",IF(G162="EXT","Внешняя ссылка",IF(G162="PARENT","Вернуться туда, откуда открыто",IFERROR(INDEX(Реестр!$C:$C,MATCH(G162,Реестр!$A:$A,0)),"⚠ нет в реестре"))))</f>
        <v>Диалог «Принять оплату»</v>
      </c>
      <c r="I162" s="5"/>
      <c r="J162" s="10" t="s">
        <v>297</v>
      </c>
    </row>
    <row r="163" customFormat="false" ht="15" hidden="false" customHeight="false" outlineLevel="0" collapsed="false">
      <c r="A163" s="5" t="s">
        <v>709</v>
      </c>
      <c r="B163" s="5" t="s">
        <v>37</v>
      </c>
      <c r="C163" s="5" t="s">
        <v>218</v>
      </c>
      <c r="D163" s="11" t="str">
        <f aca="false">IFERROR(INDEX(Реестр!$C:$C,MATCH(C163,Реестр!$A:$A,0)),"⚠ нет в реестре")</f>
        <v>Закрытие смены</v>
      </c>
      <c r="E163" s="5" t="s">
        <v>710</v>
      </c>
      <c r="F163" s="5" t="s">
        <v>428</v>
      </c>
      <c r="G163" s="5" t="s">
        <v>212</v>
      </c>
      <c r="H163" s="11" t="str">
        <f aca="false">IF(G163="ANCHOR","Прокрутка к секции",IF(G163="EXT","Внешняя ссылка",IF(G163="PARENT","Вернуться туда, откуда открыто",IFERROR(INDEX(Реестр!$C:$C,MATCH(G163,Реестр!$A:$A,0)),"⚠ нет в реестре"))))</f>
        <v>Оплаты (смена)</v>
      </c>
      <c r="I163" s="5"/>
      <c r="J163" s="10" t="s">
        <v>297</v>
      </c>
    </row>
    <row r="164" customFormat="false" ht="15" hidden="false" customHeight="false" outlineLevel="0" collapsed="false">
      <c r="A164" s="5" t="s">
        <v>711</v>
      </c>
      <c r="B164" s="5" t="s">
        <v>37</v>
      </c>
      <c r="C164" s="5" t="s">
        <v>220</v>
      </c>
      <c r="D164" s="11" t="str">
        <f aca="false">IFERROR(INDEX(Реестр!$C:$C,MATCH(C164,Реестр!$A:$A,0)),"⚠ нет в реестре")</f>
        <v>Лист ожидания</v>
      </c>
      <c r="E164" s="5" t="s">
        <v>712</v>
      </c>
      <c r="F164" s="5" t="s">
        <v>100</v>
      </c>
      <c r="G164" s="5" t="s">
        <v>222</v>
      </c>
      <c r="H164" s="11" t="str">
        <f aca="false">IF(G164="ANCHOR","Прокрутка к секции",IF(G164="EXT","Внешняя ссылка",IF(G164="PARENT","Вернуться туда, откуда открыто",IFERROR(INDEX(Реестр!$C:$C,MATCH(G164,Реестр!$A:$A,0)),"⚠ нет в реестре"))))</f>
        <v>Добавить в лист ожидания</v>
      </c>
      <c r="I164" s="5"/>
      <c r="J164" s="10" t="s">
        <v>297</v>
      </c>
    </row>
    <row r="165" customFormat="false" ht="15" hidden="false" customHeight="false" outlineLevel="0" collapsed="false">
      <c r="A165" s="5" t="s">
        <v>713</v>
      </c>
      <c r="B165" s="5" t="s">
        <v>37</v>
      </c>
      <c r="C165" s="5" t="s">
        <v>220</v>
      </c>
      <c r="D165" s="11" t="str">
        <f aca="false">IFERROR(INDEX(Реестр!$C:$C,MATCH(C165,Реестр!$A:$A,0)),"⚠ нет в реестре")</f>
        <v>Лист ожидания</v>
      </c>
      <c r="E165" s="5" t="s">
        <v>714</v>
      </c>
      <c r="F165" s="5" t="s">
        <v>190</v>
      </c>
      <c r="G165" s="5" t="s">
        <v>224</v>
      </c>
      <c r="H165" s="11" t="str">
        <f aca="false">IF(G165="ANCHOR","Прокрутка к секции",IF(G165="EXT","Внешняя ссылка",IF(G165="PARENT","Вернуться туда, откуда открыто",IFERROR(INDEX(Реестр!$C:$C,MATCH(G165,Реестр!$A:$A,0)),"⚠ нет в реестре"))))</f>
        <v>Панель «Освободился слот»</v>
      </c>
      <c r="I165" s="5"/>
      <c r="J165" s="10" t="s">
        <v>297</v>
      </c>
    </row>
    <row r="166" customFormat="false" ht="15" hidden="false" customHeight="false" outlineLevel="0" collapsed="false">
      <c r="A166" s="5" t="s">
        <v>715</v>
      </c>
      <c r="B166" s="5" t="s">
        <v>37</v>
      </c>
      <c r="C166" s="5" t="s">
        <v>222</v>
      </c>
      <c r="D166" s="11" t="str">
        <f aca="false">IFERROR(INDEX(Реестр!$C:$C,MATCH(C166,Реестр!$A:$A,0)),"⚠ нет в реестре")</f>
        <v>Добавить в лист ожидания</v>
      </c>
      <c r="E166" s="5" t="s">
        <v>716</v>
      </c>
      <c r="F166" s="5" t="s">
        <v>492</v>
      </c>
      <c r="G166" s="5" t="s">
        <v>220</v>
      </c>
      <c r="H166" s="11" t="str">
        <f aca="false">IF(G166="ANCHOR","Прокрутка к секции",IF(G166="EXT","Внешняя ссылка",IF(G166="PARENT","Вернуться туда, откуда открыто",IFERROR(INDEX(Реестр!$C:$C,MATCH(G166,Реестр!$A:$A,0)),"⚠ нет в реестре"))))</f>
        <v>Лист ожидания</v>
      </c>
      <c r="I166" s="5"/>
      <c r="J166" s="10" t="s">
        <v>297</v>
      </c>
    </row>
    <row r="167" customFormat="false" ht="15" hidden="false" customHeight="false" outlineLevel="0" collapsed="false">
      <c r="A167" s="5" t="s">
        <v>717</v>
      </c>
      <c r="B167" s="5" t="s">
        <v>37</v>
      </c>
      <c r="C167" s="5" t="s">
        <v>222</v>
      </c>
      <c r="D167" s="11" t="str">
        <f aca="false">IFERROR(INDEX(Реестр!$C:$C,MATCH(C167,Реестр!$A:$A,0)),"⚠ нет в реестре")</f>
        <v>Добавить в лист ожидания</v>
      </c>
      <c r="E167" s="5" t="s">
        <v>587</v>
      </c>
      <c r="F167" s="5" t="s">
        <v>492</v>
      </c>
      <c r="G167" s="5" t="s">
        <v>220</v>
      </c>
      <c r="H167" s="11" t="str">
        <f aca="false">IF(G167="ANCHOR","Прокрутка к секции",IF(G167="EXT","Внешняя ссылка",IF(G167="PARENT","Вернуться туда, откуда открыто",IFERROR(INDEX(Реестр!$C:$C,MATCH(G167,Реестр!$A:$A,0)),"⚠ нет в реестре"))))</f>
        <v>Лист ожидания</v>
      </c>
      <c r="I167" s="5"/>
      <c r="J167" s="10" t="s">
        <v>297</v>
      </c>
    </row>
    <row r="168" customFormat="false" ht="15" hidden="false" customHeight="false" outlineLevel="0" collapsed="false">
      <c r="A168" s="5" t="s">
        <v>718</v>
      </c>
      <c r="B168" s="5" t="s">
        <v>37</v>
      </c>
      <c r="C168" s="5" t="s">
        <v>224</v>
      </c>
      <c r="D168" s="11" t="str">
        <f aca="false">IFERROR(INDEX(Реестр!$C:$C,MATCH(C168,Реестр!$A:$A,0)),"⚠ нет в реестре")</f>
        <v>Панель «Освободился слот»</v>
      </c>
      <c r="E168" s="5" t="s">
        <v>719</v>
      </c>
      <c r="F168" s="5" t="s">
        <v>190</v>
      </c>
      <c r="G168" s="5" t="s">
        <v>188</v>
      </c>
      <c r="H168" s="11" t="str">
        <f aca="false">IF(G168="ANCHOR","Прокрутка к секции",IF(G168="EXT","Внешняя ссылка",IF(G168="PARENT","Вернуться туда, откуда открыто",IFERROR(INDEX(Реестр!$C:$C,MATCH(G168,Реестр!$A:$A,0)),"⚠ нет в реестре"))))</f>
        <v>Панель создания записи</v>
      </c>
      <c r="I168" s="5"/>
      <c r="J168" s="10" t="s">
        <v>297</v>
      </c>
    </row>
    <row r="169" customFormat="false" ht="15" hidden="false" customHeight="false" outlineLevel="0" collapsed="false">
      <c r="A169" s="5" t="s">
        <v>720</v>
      </c>
      <c r="B169" s="5" t="s">
        <v>37</v>
      </c>
      <c r="C169" s="5" t="s">
        <v>224</v>
      </c>
      <c r="D169" s="11" t="str">
        <f aca="false">IFERROR(INDEX(Реестр!$C:$C,MATCH(C169,Реестр!$A:$A,0)),"⚠ нет в реестре")</f>
        <v>Панель «Освободился слот»</v>
      </c>
      <c r="E169" s="5" t="s">
        <v>545</v>
      </c>
      <c r="F169" s="5" t="s">
        <v>492</v>
      </c>
      <c r="G169" s="5" t="s">
        <v>689</v>
      </c>
      <c r="H169" s="11" t="str">
        <f aca="false">IF(G169="ANCHOR","Прокрутка к секции",IF(G169="EXT","Внешняя ссылка",IF(G169="PARENT","Вернуться туда, откуда открыто",IFERROR(INDEX(Реестр!$C:$C,MATCH(G169,Реестр!$A:$A,0)),"⚠ нет в реестре"))))</f>
        <v>Вернуться туда, откуда открыто</v>
      </c>
      <c r="I169" s="5"/>
      <c r="J169" s="10" t="s">
        <v>297</v>
      </c>
    </row>
    <row r="170" customFormat="false" ht="15" hidden="false" customHeight="false" outlineLevel="0" collapsed="false">
      <c r="A170" s="5" t="s">
        <v>721</v>
      </c>
      <c r="B170" s="5" t="s">
        <v>37</v>
      </c>
      <c r="C170" s="5" t="s">
        <v>226</v>
      </c>
      <c r="D170" s="11" t="str">
        <f aca="false">IFERROR(INDEX(Реестр!$C:$C,MATCH(C170,Реестр!$A:$A,0)),"⚠ нет в реестре")</f>
        <v>Мастера (список)</v>
      </c>
      <c r="E170" s="5" t="s">
        <v>722</v>
      </c>
      <c r="F170" s="5" t="s">
        <v>311</v>
      </c>
      <c r="G170" s="5" t="s">
        <v>232</v>
      </c>
      <c r="H170" s="11" t="str">
        <f aca="false">IF(G170="ANCHOR","Прокрутка к секции",IF(G170="EXT","Внешняя ссылка",IF(G170="PARENT","Вернуться туда, откуда открыто",IFERROR(INDEX(Реестр!$C:$C,MATCH(G170,Реестр!$A:$A,0)),"⚠ нет в реестре"))))</f>
        <v>Карточка мастера</v>
      </c>
      <c r="I170" s="5"/>
      <c r="J170" s="10" t="s">
        <v>297</v>
      </c>
    </row>
    <row r="171" customFormat="false" ht="15" hidden="false" customHeight="false" outlineLevel="0" collapsed="false">
      <c r="A171" s="5" t="s">
        <v>723</v>
      </c>
      <c r="B171" s="5" t="s">
        <v>37</v>
      </c>
      <c r="C171" s="5" t="s">
        <v>226</v>
      </c>
      <c r="D171" s="11" t="str">
        <f aca="false">IFERROR(INDEX(Реестр!$C:$C,MATCH(C171,Реестр!$A:$A,0)),"⚠ нет в реестре")</f>
        <v>Мастера (список)</v>
      </c>
      <c r="E171" s="5" t="s">
        <v>724</v>
      </c>
      <c r="F171" s="5" t="s">
        <v>311</v>
      </c>
      <c r="G171" s="5" t="s">
        <v>228</v>
      </c>
      <c r="H171" s="11" t="str">
        <f aca="false">IF(G171="ANCHOR","Прокрутка к секции",IF(G171="EXT","Внешняя ссылка",IF(G171="PARENT","Вернуться туда, откуда открыто",IFERROR(INDEX(Реестр!$C:$C,MATCH(G171,Реестр!$A:$A,0)),"⚠ нет в реестре"))))</f>
        <v>График смен</v>
      </c>
      <c r="I171" s="5"/>
      <c r="J171" s="10" t="s">
        <v>297</v>
      </c>
    </row>
    <row r="172" customFormat="false" ht="15" hidden="false" customHeight="false" outlineLevel="0" collapsed="false">
      <c r="A172" s="5" t="s">
        <v>725</v>
      </c>
      <c r="B172" s="5" t="s">
        <v>37</v>
      </c>
      <c r="C172" s="5" t="s">
        <v>226</v>
      </c>
      <c r="D172" s="11" t="str">
        <f aca="false">IFERROR(INDEX(Реестр!$C:$C,MATCH(C172,Реестр!$A:$A,0)),"⚠ нет в реестре")</f>
        <v>Мастера (список)</v>
      </c>
      <c r="E172" s="5" t="s">
        <v>726</v>
      </c>
      <c r="F172" s="5" t="s">
        <v>311</v>
      </c>
      <c r="G172" s="5" t="s">
        <v>230</v>
      </c>
      <c r="H172" s="11" t="str">
        <f aca="false">IF(G172="ANCHOR","Прокрутка к секции",IF(G172="EXT","Внешняя ссылка",IF(G172="PARENT","Вернуться туда, откуда открыто",IFERROR(INDEX(Реестр!$C:$C,MATCH(G172,Реестр!$A:$A,0)),"⚠ нет в реестре"))))</f>
        <v>Заявки мастеров</v>
      </c>
      <c r="I172" s="5"/>
      <c r="J172" s="10" t="s">
        <v>297</v>
      </c>
    </row>
    <row r="173" customFormat="false" ht="15" hidden="false" customHeight="false" outlineLevel="0" collapsed="false">
      <c r="A173" s="5" t="s">
        <v>727</v>
      </c>
      <c r="B173" s="5" t="s">
        <v>37</v>
      </c>
      <c r="C173" s="5" t="s">
        <v>228</v>
      </c>
      <c r="D173" s="11" t="str">
        <f aca="false">IFERROR(INDEX(Реестр!$C:$C,MATCH(C173,Реестр!$A:$A,0)),"⚠ нет в реестре")</f>
        <v>График смен</v>
      </c>
      <c r="E173" s="5" t="s">
        <v>728</v>
      </c>
      <c r="F173" s="5" t="s">
        <v>311</v>
      </c>
      <c r="G173" s="5" t="s">
        <v>226</v>
      </c>
      <c r="H173" s="11" t="str">
        <f aca="false">IF(G173="ANCHOR","Прокрутка к секции",IF(G173="EXT","Внешняя ссылка",IF(G173="PARENT","Вернуться туда, откуда открыто",IFERROR(INDEX(Реестр!$C:$C,MATCH(G173,Реестр!$A:$A,0)),"⚠ нет в реестре"))))</f>
        <v>Мастера (список)</v>
      </c>
      <c r="I173" s="5"/>
      <c r="J173" s="10" t="s">
        <v>297</v>
      </c>
    </row>
    <row r="174" customFormat="false" ht="15" hidden="false" customHeight="false" outlineLevel="0" collapsed="false">
      <c r="A174" s="5" t="s">
        <v>729</v>
      </c>
      <c r="B174" s="5" t="s">
        <v>37</v>
      </c>
      <c r="C174" s="5" t="s">
        <v>228</v>
      </c>
      <c r="D174" s="11" t="str">
        <f aca="false">IFERROR(INDEX(Реестр!$C:$C,MATCH(C174,Реестр!$A:$A,0)),"⚠ нет в реестре")</f>
        <v>График смен</v>
      </c>
      <c r="E174" s="5" t="s">
        <v>726</v>
      </c>
      <c r="F174" s="5" t="s">
        <v>311</v>
      </c>
      <c r="G174" s="5" t="s">
        <v>230</v>
      </c>
      <c r="H174" s="11" t="str">
        <f aca="false">IF(G174="ANCHOR","Прокрутка к секции",IF(G174="EXT","Внешняя ссылка",IF(G174="PARENT","Вернуться туда, откуда открыто",IFERROR(INDEX(Реестр!$C:$C,MATCH(G174,Реестр!$A:$A,0)),"⚠ нет в реестре"))))</f>
        <v>Заявки мастеров</v>
      </c>
      <c r="I174" s="5"/>
      <c r="J174" s="10" t="s">
        <v>297</v>
      </c>
    </row>
    <row r="175" customFormat="false" ht="15" hidden="false" customHeight="false" outlineLevel="0" collapsed="false">
      <c r="A175" s="5" t="s">
        <v>730</v>
      </c>
      <c r="B175" s="5" t="s">
        <v>37</v>
      </c>
      <c r="C175" s="5" t="s">
        <v>230</v>
      </c>
      <c r="D175" s="11" t="str">
        <f aca="false">IFERROR(INDEX(Реестр!$C:$C,MATCH(C175,Реестр!$A:$A,0)),"⚠ нет в реестре")</f>
        <v>Заявки мастеров</v>
      </c>
      <c r="E175" s="5" t="s">
        <v>728</v>
      </c>
      <c r="F175" s="5" t="s">
        <v>311</v>
      </c>
      <c r="G175" s="5" t="s">
        <v>226</v>
      </c>
      <c r="H175" s="11" t="str">
        <f aca="false">IF(G175="ANCHOR","Прокрутка к секции",IF(G175="EXT","Внешняя ссылка",IF(G175="PARENT","Вернуться туда, откуда открыто",IFERROR(INDEX(Реестр!$C:$C,MATCH(G175,Реестр!$A:$A,0)),"⚠ нет в реестре"))))</f>
        <v>Мастера (список)</v>
      </c>
      <c r="I175" s="5"/>
      <c r="J175" s="10" t="s">
        <v>297</v>
      </c>
    </row>
    <row r="176" customFormat="false" ht="15" hidden="false" customHeight="false" outlineLevel="0" collapsed="false">
      <c r="A176" s="5" t="s">
        <v>731</v>
      </c>
      <c r="B176" s="5" t="s">
        <v>37</v>
      </c>
      <c r="C176" s="5" t="s">
        <v>230</v>
      </c>
      <c r="D176" s="11" t="str">
        <f aca="false">IFERROR(INDEX(Реестр!$C:$C,MATCH(C176,Реестр!$A:$A,0)),"⚠ нет в реестре")</f>
        <v>Заявки мастеров</v>
      </c>
      <c r="E176" s="5" t="s">
        <v>732</v>
      </c>
      <c r="F176" s="5" t="s">
        <v>311</v>
      </c>
      <c r="G176" s="5" t="s">
        <v>179</v>
      </c>
      <c r="H176" s="11" t="str">
        <f aca="false">IF(G176="ANCHOR","Прокрутка к секции",IF(G176="EXT","Внешняя ссылка",IF(G176="PARENT","Вернуться туда, откуда открыто",IFERROR(INDEX(Реестр!$C:$C,MATCH(G176,Реестр!$A:$A,0)),"⚠ нет в реестре"))))</f>
        <v>Шахматка (день)</v>
      </c>
      <c r="I176" s="5"/>
      <c r="J176" s="10" t="s">
        <v>297</v>
      </c>
    </row>
    <row r="177" customFormat="false" ht="15" hidden="false" customHeight="false" outlineLevel="0" collapsed="false">
      <c r="A177" s="5" t="s">
        <v>733</v>
      </c>
      <c r="B177" s="5" t="s">
        <v>37</v>
      </c>
      <c r="C177" s="5" t="s">
        <v>232</v>
      </c>
      <c r="D177" s="11" t="str">
        <f aca="false">IFERROR(INDEX(Реестр!$C:$C,MATCH(C177,Реестр!$A:$A,0)),"⚠ нет в реестре")</f>
        <v>Карточка мастера</v>
      </c>
      <c r="E177" s="5" t="s">
        <v>734</v>
      </c>
      <c r="F177" s="5" t="s">
        <v>428</v>
      </c>
      <c r="G177" s="5" t="s">
        <v>226</v>
      </c>
      <c r="H177" s="11" t="str">
        <f aca="false">IF(G177="ANCHOR","Прокрутка к секции",IF(G177="EXT","Внешняя ссылка",IF(G177="PARENT","Вернуться туда, откуда открыто",IFERROR(INDEX(Реестр!$C:$C,MATCH(G177,Реестр!$A:$A,0)),"⚠ нет в реестре"))))</f>
        <v>Мастера (список)</v>
      </c>
      <c r="I177" s="5"/>
      <c r="J177" s="10" t="s">
        <v>297</v>
      </c>
    </row>
    <row r="178" customFormat="false" ht="15" hidden="false" customHeight="false" outlineLevel="0" collapsed="false">
      <c r="A178" s="5" t="s">
        <v>735</v>
      </c>
      <c r="B178" s="5" t="s">
        <v>37</v>
      </c>
      <c r="C178" s="5" t="s">
        <v>232</v>
      </c>
      <c r="D178" s="11" t="str">
        <f aca="false">IFERROR(INDEX(Реестр!$C:$C,MATCH(C178,Реестр!$A:$A,0)),"⚠ нет в реестре")</f>
        <v>Карточка мастера</v>
      </c>
      <c r="E178" s="5" t="s">
        <v>736</v>
      </c>
      <c r="F178" s="5" t="s">
        <v>311</v>
      </c>
      <c r="G178" s="5" t="s">
        <v>228</v>
      </c>
      <c r="H178" s="11" t="str">
        <f aca="false">IF(G178="ANCHOR","Прокрутка к секции",IF(G178="EXT","Внешняя ссылка",IF(G178="PARENT","Вернуться туда, откуда открыто",IFERROR(INDEX(Реестр!$C:$C,MATCH(G178,Реестр!$A:$A,0)),"⚠ нет в реестре"))))</f>
        <v>График смен</v>
      </c>
      <c r="I178" s="5"/>
      <c r="J178" s="10" t="s">
        <v>297</v>
      </c>
    </row>
    <row r="179" customFormat="false" ht="15" hidden="false" customHeight="false" outlineLevel="0" collapsed="false">
      <c r="A179" s="5" t="s">
        <v>737</v>
      </c>
      <c r="B179" s="5" t="s">
        <v>37</v>
      </c>
      <c r="C179" s="5" t="s">
        <v>232</v>
      </c>
      <c r="D179" s="11" t="str">
        <f aca="false">IFERROR(INDEX(Реестр!$C:$C,MATCH(C179,Реестр!$A:$A,0)),"⚠ нет в реестре")</f>
        <v>Карточка мастера</v>
      </c>
      <c r="E179" s="5" t="s">
        <v>738</v>
      </c>
      <c r="F179" s="5" t="s">
        <v>100</v>
      </c>
      <c r="G179" s="5" t="s">
        <v>253</v>
      </c>
      <c r="H179" s="11" t="str">
        <f aca="false">IF(G179="ANCHOR","Прокрутка к секции",IF(G179="EXT","Внешняя ссылка",IF(G179="PARENT","Вернуться туда, откуда открыто",IFERROR(INDEX(Реестр!$C:$C,MATCH(G179,Реестр!$A:$A,0)),"⚠ нет в реестре"))))</f>
        <v>Требуются расширенные права</v>
      </c>
      <c r="I179" s="5"/>
      <c r="J179" s="10" t="s">
        <v>297</v>
      </c>
    </row>
    <row r="180" customFormat="false" ht="15" hidden="false" customHeight="false" outlineLevel="0" collapsed="false">
      <c r="A180" s="5" t="s">
        <v>739</v>
      </c>
      <c r="B180" s="5" t="s">
        <v>37</v>
      </c>
      <c r="C180" s="5" t="s">
        <v>234</v>
      </c>
      <c r="D180" s="11" t="str">
        <f aca="false">IFERROR(INDEX(Реестр!$C:$C,MATCH(C180,Реестр!$A:$A,0)),"⚠ нет в реестре")</f>
        <v>Услуги (список)</v>
      </c>
      <c r="E180" s="5" t="s">
        <v>740</v>
      </c>
      <c r="F180" s="5" t="s">
        <v>311</v>
      </c>
      <c r="G180" s="5" t="s">
        <v>236</v>
      </c>
      <c r="H180" s="11" t="str">
        <f aca="false">IF(G180="ANCHOR","Прокрутка к секции",IF(G180="EXT","Внешняя ссылка",IF(G180="PARENT","Вернуться туда, откуда открыто",IFERROR(INDEX(Реестр!$C:$C,MATCH(G180,Реестр!$A:$A,0)),"⚠ нет в реестре"))))</f>
        <v>Форма услуги</v>
      </c>
      <c r="I180" s="5"/>
      <c r="J180" s="10" t="s">
        <v>297</v>
      </c>
    </row>
    <row r="181" customFormat="false" ht="15" hidden="false" customHeight="false" outlineLevel="0" collapsed="false">
      <c r="A181" s="5" t="s">
        <v>741</v>
      </c>
      <c r="B181" s="5" t="s">
        <v>37</v>
      </c>
      <c r="C181" s="5" t="s">
        <v>234</v>
      </c>
      <c r="D181" s="11" t="str">
        <f aca="false">IFERROR(INDEX(Реестр!$C:$C,MATCH(C181,Реестр!$A:$A,0)),"⚠ нет в реестре")</f>
        <v>Услуги (список)</v>
      </c>
      <c r="E181" s="5" t="s">
        <v>742</v>
      </c>
      <c r="F181" s="5" t="s">
        <v>311</v>
      </c>
      <c r="G181" s="5" t="s">
        <v>236</v>
      </c>
      <c r="H181" s="11" t="str">
        <f aca="false">IF(G181="ANCHOR","Прокрутка к секции",IF(G181="EXT","Внешняя ссылка",IF(G181="PARENT","Вернуться туда, откуда открыто",IFERROR(INDEX(Реестр!$C:$C,MATCH(G181,Реестр!$A:$A,0)),"⚠ нет в реестре"))))</f>
        <v>Форма услуги</v>
      </c>
      <c r="I181" s="5"/>
      <c r="J181" s="10" t="s">
        <v>297</v>
      </c>
    </row>
    <row r="182" customFormat="false" ht="15" hidden="false" customHeight="false" outlineLevel="0" collapsed="false">
      <c r="A182" s="5" t="s">
        <v>743</v>
      </c>
      <c r="B182" s="5" t="s">
        <v>37</v>
      </c>
      <c r="C182" s="5" t="s">
        <v>236</v>
      </c>
      <c r="D182" s="11" t="str">
        <f aca="false">IFERROR(INDEX(Реестр!$C:$C,MATCH(C182,Реестр!$A:$A,0)),"⚠ нет в реестре")</f>
        <v>Форма услуги</v>
      </c>
      <c r="E182" s="5" t="s">
        <v>442</v>
      </c>
      <c r="F182" s="5" t="s">
        <v>311</v>
      </c>
      <c r="G182" s="5" t="s">
        <v>234</v>
      </c>
      <c r="H182" s="11" t="str">
        <f aca="false">IF(G182="ANCHOR","Прокрутка к секции",IF(G182="EXT","Внешняя ссылка",IF(G182="PARENT","Вернуться туда, откуда открыто",IFERROR(INDEX(Реестр!$C:$C,MATCH(G182,Реестр!$A:$A,0)),"⚠ нет в реестре"))))</f>
        <v>Услуги (список)</v>
      </c>
      <c r="I182" s="5"/>
      <c r="J182" s="10" t="s">
        <v>297</v>
      </c>
    </row>
    <row r="183" customFormat="false" ht="15" hidden="false" customHeight="false" outlineLevel="0" collapsed="false">
      <c r="A183" s="5" t="s">
        <v>744</v>
      </c>
      <c r="B183" s="5" t="s">
        <v>37</v>
      </c>
      <c r="C183" s="5" t="s">
        <v>236</v>
      </c>
      <c r="D183" s="11" t="str">
        <f aca="false">IFERROR(INDEX(Реестр!$C:$C,MATCH(C183,Реестр!$A:$A,0)),"⚠ нет в реестре")</f>
        <v>Форма услуги</v>
      </c>
      <c r="E183" s="5" t="s">
        <v>587</v>
      </c>
      <c r="F183" s="5" t="s">
        <v>428</v>
      </c>
      <c r="G183" s="5" t="s">
        <v>234</v>
      </c>
      <c r="H183" s="11" t="str">
        <f aca="false">IF(G183="ANCHOR","Прокрутка к секции",IF(G183="EXT","Внешняя ссылка",IF(G183="PARENT","Вернуться туда, откуда открыто",IFERROR(INDEX(Реестр!$C:$C,MATCH(G183,Реестр!$A:$A,0)),"⚠ нет в реестре"))))</f>
        <v>Услуги (список)</v>
      </c>
      <c r="I183" s="5"/>
      <c r="J183" s="10" t="s">
        <v>297</v>
      </c>
    </row>
    <row r="184" customFormat="false" ht="15" hidden="false" customHeight="false" outlineLevel="0" collapsed="false">
      <c r="A184" s="5" t="s">
        <v>745</v>
      </c>
      <c r="B184" s="5" t="s">
        <v>37</v>
      </c>
      <c r="C184" s="5" t="s">
        <v>236</v>
      </c>
      <c r="D184" s="11" t="str">
        <f aca="false">IFERROR(INDEX(Реестр!$C:$C,MATCH(C184,Реестр!$A:$A,0)),"⚠ нет в реестре")</f>
        <v>Форма услуги</v>
      </c>
      <c r="E184" s="5" t="s">
        <v>746</v>
      </c>
      <c r="F184" s="5" t="s">
        <v>100</v>
      </c>
      <c r="G184" s="5" t="s">
        <v>253</v>
      </c>
      <c r="H184" s="11" t="str">
        <f aca="false">IF(G184="ANCHOR","Прокрутка к секции",IF(G184="EXT","Внешняя ссылка",IF(G184="PARENT","Вернуться туда, откуда открыто",IFERROR(INDEX(Реестр!$C:$C,MATCH(G184,Реестр!$A:$A,0)),"⚠ нет в реестре"))))</f>
        <v>Требуются расширенные права</v>
      </c>
      <c r="I184" s="5"/>
      <c r="J184" s="10" t="s">
        <v>297</v>
      </c>
    </row>
    <row r="185" customFormat="false" ht="15" hidden="false" customHeight="false" outlineLevel="0" collapsed="false">
      <c r="A185" s="5" t="s">
        <v>747</v>
      </c>
      <c r="B185" s="5" t="s">
        <v>37</v>
      </c>
      <c r="C185" s="5" t="s">
        <v>238</v>
      </c>
      <c r="D185" s="11" t="str">
        <f aca="false">IFERROR(INDEX(Реестр!$C:$C,MATCH(C185,Реестр!$A:$A,0)),"⚠ нет в реестре")</f>
        <v>Сообщения: автоуведомления</v>
      </c>
      <c r="E185" s="5" t="s">
        <v>748</v>
      </c>
      <c r="F185" s="5" t="s">
        <v>311</v>
      </c>
      <c r="G185" s="5" t="s">
        <v>240</v>
      </c>
      <c r="H185" s="11" t="str">
        <f aca="false">IF(G185="ANCHOR","Прокрутка к секции",IF(G185="EXT","Внешняя ссылка",IF(G185="PARENT","Вернуться туда, откуда открыто",IFERROR(INDEX(Реестр!$C:$C,MATCH(G185,Реестр!$A:$A,0)),"⚠ нет в реестре"))))</f>
        <v>Диалог с клиентом</v>
      </c>
      <c r="I185" s="5"/>
      <c r="J185" s="10" t="s">
        <v>297</v>
      </c>
    </row>
    <row r="186" customFormat="false" ht="15" hidden="false" customHeight="false" outlineLevel="0" collapsed="false">
      <c r="A186" s="5" t="s">
        <v>749</v>
      </c>
      <c r="B186" s="5" t="s">
        <v>37</v>
      </c>
      <c r="C186" s="5" t="s">
        <v>238</v>
      </c>
      <c r="D186" s="11" t="str">
        <f aca="false">IFERROR(INDEX(Реестр!$C:$C,MATCH(C186,Реестр!$A:$A,0)),"⚠ нет в реестре")</f>
        <v>Сообщения: автоуведомления</v>
      </c>
      <c r="E186" s="5" t="s">
        <v>750</v>
      </c>
      <c r="F186" s="5" t="s">
        <v>311</v>
      </c>
      <c r="G186" s="5" t="s">
        <v>242</v>
      </c>
      <c r="H186" s="11" t="str">
        <f aca="false">IF(G186="ANCHOR","Прокрутка к секции",IF(G186="EXT","Внешняя ссылка",IF(G186="PARENT","Вернуться туда, откуда открыто",IFERROR(INDEX(Реестр!$C:$C,MATCH(G186,Реестр!$A:$A,0)),"⚠ нет в реестре"))))</f>
        <v>Рассылка</v>
      </c>
      <c r="I186" s="5"/>
      <c r="J186" s="10" t="s">
        <v>297</v>
      </c>
    </row>
    <row r="187" customFormat="false" ht="15" hidden="false" customHeight="false" outlineLevel="0" collapsed="false">
      <c r="A187" s="5" t="s">
        <v>751</v>
      </c>
      <c r="B187" s="5" t="s">
        <v>37</v>
      </c>
      <c r="C187" s="5" t="s">
        <v>240</v>
      </c>
      <c r="D187" s="11" t="str">
        <f aca="false">IFERROR(INDEX(Реестр!$C:$C,MATCH(C187,Реестр!$A:$A,0)),"⚠ нет в реестре")</f>
        <v>Диалог с клиентом</v>
      </c>
      <c r="E187" s="5" t="s">
        <v>752</v>
      </c>
      <c r="F187" s="5" t="s">
        <v>311</v>
      </c>
      <c r="G187" s="5" t="s">
        <v>238</v>
      </c>
      <c r="H187" s="11" t="str">
        <f aca="false">IF(G187="ANCHOR","Прокрутка к секции",IF(G187="EXT","Внешняя ссылка",IF(G187="PARENT","Вернуться туда, откуда открыто",IFERROR(INDEX(Реестр!$C:$C,MATCH(G187,Реестр!$A:$A,0)),"⚠ нет в реестре"))))</f>
        <v>Сообщения: автоуведомления</v>
      </c>
      <c r="I187" s="5"/>
      <c r="J187" s="10" t="s">
        <v>297</v>
      </c>
    </row>
    <row r="188" customFormat="false" ht="15" hidden="false" customHeight="false" outlineLevel="0" collapsed="false">
      <c r="A188" s="5" t="s">
        <v>753</v>
      </c>
      <c r="B188" s="5" t="s">
        <v>37</v>
      </c>
      <c r="C188" s="5" t="s">
        <v>240</v>
      </c>
      <c r="D188" s="11" t="str">
        <f aca="false">IFERROR(INDEX(Реестр!$C:$C,MATCH(C188,Реестр!$A:$A,0)),"⚠ нет в реестре")</f>
        <v>Диалог с клиентом</v>
      </c>
      <c r="E188" s="5" t="s">
        <v>754</v>
      </c>
      <c r="F188" s="5" t="s">
        <v>311</v>
      </c>
      <c r="G188" s="5" t="s">
        <v>205</v>
      </c>
      <c r="H188" s="11" t="str">
        <f aca="false">IF(G188="ANCHOR","Прокрутка к секции",IF(G188="EXT","Внешняя ссылка",IF(G188="PARENT","Вернуться туда, откуда открыто",IFERROR(INDEX(Реестр!$C:$C,MATCH(G188,Реестр!$A:$A,0)),"⚠ нет в реестре"))))</f>
        <v>Карточка клиента (полная)</v>
      </c>
      <c r="I188" s="5"/>
      <c r="J188" s="10" t="s">
        <v>297</v>
      </c>
    </row>
    <row r="189" customFormat="false" ht="15" hidden="false" customHeight="false" outlineLevel="0" collapsed="false">
      <c r="A189" s="5" t="s">
        <v>755</v>
      </c>
      <c r="B189" s="5" t="s">
        <v>37</v>
      </c>
      <c r="C189" s="5" t="s">
        <v>242</v>
      </c>
      <c r="D189" s="11" t="str">
        <f aca="false">IFERROR(INDEX(Реестр!$C:$C,MATCH(C189,Реестр!$A:$A,0)),"⚠ нет в реестре")</f>
        <v>Рассылка</v>
      </c>
      <c r="E189" s="5" t="s">
        <v>756</v>
      </c>
      <c r="F189" s="5" t="s">
        <v>100</v>
      </c>
      <c r="G189" s="5" t="s">
        <v>253</v>
      </c>
      <c r="H189" s="11" t="str">
        <f aca="false">IF(G189="ANCHOR","Прокрутка к секции",IF(G189="EXT","Внешняя ссылка",IF(G189="PARENT","Вернуться туда, откуда открыто",IFERROR(INDEX(Реестр!$C:$C,MATCH(G189,Реестр!$A:$A,0)),"⚠ нет в реестре"))))</f>
        <v>Требуются расширенные права</v>
      </c>
      <c r="I189" s="5"/>
      <c r="J189" s="10" t="s">
        <v>297</v>
      </c>
    </row>
    <row r="190" customFormat="false" ht="15" hidden="false" customHeight="false" outlineLevel="0" collapsed="false">
      <c r="A190" s="5" t="s">
        <v>757</v>
      </c>
      <c r="B190" s="5" t="s">
        <v>37</v>
      </c>
      <c r="C190" s="5" t="s">
        <v>242</v>
      </c>
      <c r="D190" s="11" t="str">
        <f aca="false">IFERROR(INDEX(Реестр!$C:$C,MATCH(C190,Реестр!$A:$A,0)),"⚠ нет в реестре")</f>
        <v>Рассылка</v>
      </c>
      <c r="E190" s="5" t="s">
        <v>587</v>
      </c>
      <c r="F190" s="5" t="s">
        <v>428</v>
      </c>
      <c r="G190" s="5" t="s">
        <v>238</v>
      </c>
      <c r="H190" s="11" t="str">
        <f aca="false">IF(G190="ANCHOR","Прокрутка к секции",IF(G190="EXT","Внешняя ссылка",IF(G190="PARENT","Вернуться туда, откуда открыто",IFERROR(INDEX(Реестр!$C:$C,MATCH(G190,Реестр!$A:$A,0)),"⚠ нет в реестре"))))</f>
        <v>Сообщения: автоуведомления</v>
      </c>
      <c r="I190" s="5"/>
      <c r="J190" s="10" t="s">
        <v>297</v>
      </c>
    </row>
    <row r="191" customFormat="false" ht="15" hidden="false" customHeight="false" outlineLevel="0" collapsed="false">
      <c r="A191" s="5" t="s">
        <v>758</v>
      </c>
      <c r="B191" s="5" t="s">
        <v>37</v>
      </c>
      <c r="C191" s="5" t="s">
        <v>244</v>
      </c>
      <c r="D191" s="11" t="str">
        <f aca="false">IFERROR(INDEX(Реестр!$C:$C,MATCH(C191,Реестр!$A:$A,0)),"⚠ нет в реестре")</f>
        <v>Сотрудники (список)</v>
      </c>
      <c r="E191" s="5" t="s">
        <v>759</v>
      </c>
      <c r="F191" s="5" t="s">
        <v>311</v>
      </c>
      <c r="G191" s="5" t="s">
        <v>247</v>
      </c>
      <c r="H191" s="11" t="str">
        <f aca="false">IF(G191="ANCHOR","Прокрутка к секции",IF(G191="EXT","Внешняя ссылка",IF(G191="PARENT","Вернуться туда, откуда открыто",IFERROR(INDEX(Реестр!$C:$C,MATCH(G191,Реестр!$A:$A,0)),"⚠ нет в реестре"))))</f>
        <v>Форма сотрудника</v>
      </c>
      <c r="I191" s="5"/>
      <c r="J191" s="10" t="s">
        <v>297</v>
      </c>
    </row>
    <row r="192" customFormat="false" ht="15" hidden="false" customHeight="false" outlineLevel="0" collapsed="false">
      <c r="A192" s="5" t="s">
        <v>760</v>
      </c>
      <c r="B192" s="5" t="s">
        <v>37</v>
      </c>
      <c r="C192" s="5" t="s">
        <v>244</v>
      </c>
      <c r="D192" s="11" t="str">
        <f aca="false">IFERROR(INDEX(Реестр!$C:$C,MATCH(C192,Реестр!$A:$A,0)),"⚠ нет в реестре")</f>
        <v>Сотрудники (список)</v>
      </c>
      <c r="E192" s="5" t="s">
        <v>761</v>
      </c>
      <c r="F192" s="5" t="s">
        <v>311</v>
      </c>
      <c r="G192" s="5" t="s">
        <v>247</v>
      </c>
      <c r="H192" s="11" t="str">
        <f aca="false">IF(G192="ANCHOR","Прокрутка к секции",IF(G192="EXT","Внешняя ссылка",IF(G192="PARENT","Вернуться туда, откуда открыто",IFERROR(INDEX(Реестр!$C:$C,MATCH(G192,Реестр!$A:$A,0)),"⚠ нет в реестре"))))</f>
        <v>Форма сотрудника</v>
      </c>
      <c r="I192" s="5"/>
      <c r="J192" s="10" t="s">
        <v>297</v>
      </c>
    </row>
    <row r="193" customFormat="false" ht="15" hidden="false" customHeight="false" outlineLevel="0" collapsed="false">
      <c r="A193" s="5" t="s">
        <v>762</v>
      </c>
      <c r="B193" s="5" t="s">
        <v>37</v>
      </c>
      <c r="C193" s="5" t="s">
        <v>247</v>
      </c>
      <c r="D193" s="11" t="str">
        <f aca="false">IFERROR(INDEX(Реестр!$C:$C,MATCH(C193,Реестр!$A:$A,0)),"⚠ нет в реестре")</f>
        <v>Форма сотрудника</v>
      </c>
      <c r="E193" s="5" t="s">
        <v>442</v>
      </c>
      <c r="F193" s="5" t="s">
        <v>311</v>
      </c>
      <c r="G193" s="5" t="s">
        <v>244</v>
      </c>
      <c r="H193" s="11" t="str">
        <f aca="false">IF(G193="ANCHOR","Прокрутка к секции",IF(G193="EXT","Внешняя ссылка",IF(G193="PARENT","Вернуться туда, откуда открыто",IFERROR(INDEX(Реестр!$C:$C,MATCH(G193,Реестр!$A:$A,0)),"⚠ нет в реестре"))))</f>
        <v>Сотрудники (список)</v>
      </c>
      <c r="I193" s="5"/>
      <c r="J193" s="10" t="s">
        <v>297</v>
      </c>
    </row>
    <row r="194" customFormat="false" ht="23.85" hidden="false" customHeight="false" outlineLevel="0" collapsed="false">
      <c r="A194" s="5" t="s">
        <v>763</v>
      </c>
      <c r="B194" s="5" t="s">
        <v>37</v>
      </c>
      <c r="C194" s="5" t="s">
        <v>247</v>
      </c>
      <c r="D194" s="11" t="str">
        <f aca="false">IFERROR(INDEX(Реестр!$C:$C,MATCH(C194,Реестр!$A:$A,0)),"⚠ нет в реестре")</f>
        <v>Форма сотрудника</v>
      </c>
      <c r="E194" s="5" t="s">
        <v>764</v>
      </c>
      <c r="F194" s="5" t="s">
        <v>100</v>
      </c>
      <c r="G194" s="5" t="s">
        <v>266</v>
      </c>
      <c r="H194" s="11" t="str">
        <f aca="false">IF(G194="ANCHOR","Прокрутка к секции",IF(G194="EXT","Внешняя ссылка",IF(G194="PARENT","Вернуться туда, откуда открыто",IFERROR(INDEX(Реестр!$C:$C,MATCH(G194,Реестр!$A:$A,0)),"⚠ нет в реестре"))))</f>
        <v>Подтверждение необратимого действия</v>
      </c>
      <c r="I194" s="5"/>
      <c r="J194" s="10" t="s">
        <v>297</v>
      </c>
    </row>
    <row r="195" customFormat="false" ht="15" hidden="false" customHeight="false" outlineLevel="0" collapsed="false">
      <c r="A195" s="5" t="s">
        <v>765</v>
      </c>
      <c r="B195" s="5" t="s">
        <v>37</v>
      </c>
      <c r="C195" s="5" t="s">
        <v>247</v>
      </c>
      <c r="D195" s="11" t="str">
        <f aca="false">IFERROR(INDEX(Реестр!$C:$C,MATCH(C195,Реестр!$A:$A,0)),"⚠ нет в реестре")</f>
        <v>Форма сотрудника</v>
      </c>
      <c r="E195" s="5" t="s">
        <v>587</v>
      </c>
      <c r="F195" s="5" t="s">
        <v>428</v>
      </c>
      <c r="G195" s="5" t="s">
        <v>244</v>
      </c>
      <c r="H195" s="11" t="str">
        <f aca="false">IF(G195="ANCHOR","Прокрутка к секции",IF(G195="EXT","Внешняя ссылка",IF(G195="PARENT","Вернуться туда, откуда открыто",IFERROR(INDEX(Реестр!$C:$C,MATCH(G195,Реестр!$A:$A,0)),"⚠ нет в реестре"))))</f>
        <v>Сотрудники (список)</v>
      </c>
      <c r="I195" s="5"/>
      <c r="J195" s="10" t="s">
        <v>297</v>
      </c>
    </row>
    <row r="196" customFormat="false" ht="15" hidden="false" customHeight="false" outlineLevel="0" collapsed="false">
      <c r="A196" s="5" t="s">
        <v>766</v>
      </c>
      <c r="B196" s="5" t="s">
        <v>37</v>
      </c>
      <c r="C196" s="5" t="s">
        <v>249</v>
      </c>
      <c r="D196" s="11" t="str">
        <f aca="false">IFERROR(INDEX(Реестр!$C:$C,MATCH(C196,Реестр!$A:$A,0)),"⚠ нет в реестре")</f>
        <v>Аналитика (дашборд)</v>
      </c>
      <c r="E196" s="5" t="s">
        <v>767</v>
      </c>
      <c r="F196" s="5" t="s">
        <v>311</v>
      </c>
      <c r="G196" s="5" t="s">
        <v>232</v>
      </c>
      <c r="H196" s="11" t="str">
        <f aca="false">IF(G196="ANCHOR","Прокрутка к секции",IF(G196="EXT","Внешняя ссылка",IF(G196="PARENT","Вернуться туда, откуда открыто",IFERROR(INDEX(Реестр!$C:$C,MATCH(G196,Реестр!$A:$A,0)),"⚠ нет в реестре"))))</f>
        <v>Карточка мастера</v>
      </c>
      <c r="I196" s="5"/>
      <c r="J196" s="10" t="s">
        <v>297</v>
      </c>
    </row>
    <row r="197" customFormat="false" ht="15" hidden="false" customHeight="false" outlineLevel="0" collapsed="false">
      <c r="A197" s="5" t="s">
        <v>768</v>
      </c>
      <c r="B197" s="5" t="s">
        <v>37</v>
      </c>
      <c r="C197" s="5" t="s">
        <v>253</v>
      </c>
      <c r="D197" s="11" t="str">
        <f aca="false">IFERROR(INDEX(Реестр!$C:$C,MATCH(C197,Реестр!$A:$A,0)),"⚠ нет в реестре")</f>
        <v>Требуются расширенные права</v>
      </c>
      <c r="E197" s="5" t="s">
        <v>769</v>
      </c>
      <c r="F197" s="5" t="s">
        <v>492</v>
      </c>
      <c r="G197" s="5" t="s">
        <v>689</v>
      </c>
      <c r="H197" s="11" t="str">
        <f aca="false">IF(G197="ANCHOR","Прокрутка к секции",IF(G197="EXT","Внешняя ссылка",IF(G197="PARENT","Вернуться туда, откуда открыто",IFERROR(INDEX(Реестр!$C:$C,MATCH(G197,Реестр!$A:$A,0)),"⚠ нет в реестре"))))</f>
        <v>Вернуться туда, откуда открыто</v>
      </c>
      <c r="I197" s="5"/>
      <c r="J197" s="10" t="s">
        <v>297</v>
      </c>
    </row>
    <row r="198" customFormat="false" ht="15" hidden="false" customHeight="false" outlineLevel="0" collapsed="false">
      <c r="A198" s="5" t="s">
        <v>770</v>
      </c>
      <c r="B198" s="5" t="s">
        <v>37</v>
      </c>
      <c r="C198" s="5" t="s">
        <v>253</v>
      </c>
      <c r="D198" s="11" t="str">
        <f aca="false">IFERROR(INDEX(Реестр!$C:$C,MATCH(C198,Реестр!$A:$A,0)),"⚠ нет в реестре")</f>
        <v>Требуются расширенные права</v>
      </c>
      <c r="E198" s="5" t="s">
        <v>771</v>
      </c>
      <c r="F198" s="5" t="s">
        <v>492</v>
      </c>
      <c r="G198" s="5" t="s">
        <v>689</v>
      </c>
      <c r="H198" s="11" t="str">
        <f aca="false">IF(G198="ANCHOR","Прокрутка к секции",IF(G198="EXT","Внешняя ссылка",IF(G198="PARENT","Вернуться туда, откуда открыто",IFERROR(INDEX(Реестр!$C:$C,MATCH(G198,Реестр!$A:$A,0)),"⚠ нет в реестре"))))</f>
        <v>Вернуться туда, откуда открыто</v>
      </c>
      <c r="I198" s="5"/>
      <c r="J198" s="10" t="s">
        <v>297</v>
      </c>
    </row>
    <row r="199" customFormat="false" ht="23.85" hidden="false" customHeight="false" outlineLevel="0" collapsed="false">
      <c r="A199" s="5" t="s">
        <v>772</v>
      </c>
      <c r="B199" s="5" t="s">
        <v>37</v>
      </c>
      <c r="C199" s="5" t="s">
        <v>256</v>
      </c>
      <c r="D199" s="11" t="str">
        <f aca="false">IFERROR(INDEX(Реестр!$C:$C,MATCH(C199,Реестр!$A:$A,0)),"⚠ нет в реестре")</f>
        <v>Запись изменена другим сотрудником</v>
      </c>
      <c r="E199" s="5" t="s">
        <v>773</v>
      </c>
      <c r="F199" s="5" t="s">
        <v>311</v>
      </c>
      <c r="G199" s="5" t="s">
        <v>179</v>
      </c>
      <c r="H199" s="11" t="str">
        <f aca="false">IF(G199="ANCHOR","Прокрутка к секции",IF(G199="EXT","Внешняя ссылка",IF(G199="PARENT","Вернуться туда, откуда открыто",IFERROR(INDEX(Реестр!$C:$C,MATCH(G199,Реестр!$A:$A,0)),"⚠ нет в реестре"))))</f>
        <v>Шахматка (день)</v>
      </c>
      <c r="I199" s="5"/>
      <c r="J199" s="10" t="s">
        <v>297</v>
      </c>
    </row>
    <row r="200" customFormat="false" ht="15" hidden="false" customHeight="false" outlineLevel="0" collapsed="false">
      <c r="A200" s="5" t="s">
        <v>774</v>
      </c>
      <c r="B200" s="5" t="s">
        <v>37</v>
      </c>
      <c r="C200" s="5" t="s">
        <v>258</v>
      </c>
      <c r="D200" s="11" t="str">
        <f aca="false">IFERROR(INDEX(Реестр!$C:$C,MATCH(C200,Реестр!$A:$A,0)),"⚠ нет в реестре")</f>
        <v>Ошибка загрузки расписания</v>
      </c>
      <c r="E200" s="5" t="s">
        <v>775</v>
      </c>
      <c r="F200" s="5" t="s">
        <v>311</v>
      </c>
      <c r="G200" s="5" t="s">
        <v>179</v>
      </c>
      <c r="H200" s="11" t="str">
        <f aca="false">IF(G200="ANCHOR","Прокрутка к секции",IF(G200="EXT","Внешняя ссылка",IF(G200="PARENT","Вернуться туда, откуда открыто",IFERROR(INDEX(Реестр!$C:$C,MATCH(G200,Реестр!$A:$A,0)),"⚠ нет в реестре"))))</f>
        <v>Шахматка (день)</v>
      </c>
      <c r="I200" s="5"/>
      <c r="J200" s="10" t="s">
        <v>297</v>
      </c>
    </row>
    <row r="201" customFormat="false" ht="23.85" hidden="false" customHeight="false" outlineLevel="0" collapsed="false">
      <c r="A201" s="5" t="s">
        <v>776</v>
      </c>
      <c r="B201" s="5" t="s">
        <v>37</v>
      </c>
      <c r="C201" s="5" t="s">
        <v>262</v>
      </c>
      <c r="D201" s="11" t="str">
        <f aca="false">IFERROR(INDEX(Реестр!$C:$C,MATCH(C201,Реестр!$A:$A,0)),"⚠ нет в реестре")</f>
        <v>Незакрытые оплаты при закрытии смены</v>
      </c>
      <c r="E201" s="5" t="s">
        <v>777</v>
      </c>
      <c r="F201" s="5" t="s">
        <v>100</v>
      </c>
      <c r="G201" s="5" t="s">
        <v>214</v>
      </c>
      <c r="H201" s="11" t="str">
        <f aca="false">IF(G201="ANCHOR","Прокрутка к секции",IF(G201="EXT","Внешняя ссылка",IF(G201="PARENT","Вернуться туда, откуда открыто",IFERROR(INDEX(Реестр!$C:$C,MATCH(G201,Реестр!$A:$A,0)),"⚠ нет в реестре"))))</f>
        <v>Диалог «Принять оплату»</v>
      </c>
      <c r="I201" s="5"/>
      <c r="J201" s="10" t="s">
        <v>297</v>
      </c>
    </row>
    <row r="202" customFormat="false" ht="23.85" hidden="false" customHeight="false" outlineLevel="0" collapsed="false">
      <c r="A202" s="5" t="s">
        <v>778</v>
      </c>
      <c r="B202" s="5" t="s">
        <v>37</v>
      </c>
      <c r="C202" s="5" t="s">
        <v>262</v>
      </c>
      <c r="D202" s="11" t="str">
        <f aca="false">IFERROR(INDEX(Реестр!$C:$C,MATCH(C202,Реестр!$A:$A,0)),"⚠ нет в реестре")</f>
        <v>Незакрытые оплаты при закрытии смены</v>
      </c>
      <c r="E202" s="5" t="s">
        <v>587</v>
      </c>
      <c r="F202" s="5" t="s">
        <v>492</v>
      </c>
      <c r="G202" s="5" t="s">
        <v>218</v>
      </c>
      <c r="H202" s="11" t="str">
        <f aca="false">IF(G202="ANCHOR","Прокрутка к секции",IF(G202="EXT","Внешняя ссылка",IF(G202="PARENT","Вернуться туда, откуда открыто",IFERROR(INDEX(Реестр!$C:$C,MATCH(G202,Реестр!$A:$A,0)),"⚠ нет в реестре"))))</f>
        <v>Закрытие смены</v>
      </c>
      <c r="I202" s="5"/>
      <c r="J202" s="10" t="s">
        <v>297</v>
      </c>
    </row>
    <row r="203" customFormat="false" ht="23.85" hidden="false" customHeight="false" outlineLevel="0" collapsed="false">
      <c r="A203" s="5" t="s">
        <v>779</v>
      </c>
      <c r="B203" s="5" t="s">
        <v>37</v>
      </c>
      <c r="C203" s="5" t="s">
        <v>266</v>
      </c>
      <c r="D203" s="11" t="str">
        <f aca="false">IFERROR(INDEX(Реестр!$C:$C,MATCH(C203,Реестр!$A:$A,0)),"⚠ нет в реестре")</f>
        <v>Подтверждение необратимого действия</v>
      </c>
      <c r="E203" s="5" t="s">
        <v>456</v>
      </c>
      <c r="F203" s="5" t="s">
        <v>492</v>
      </c>
      <c r="G203" s="5" t="s">
        <v>689</v>
      </c>
      <c r="H203" s="11" t="str">
        <f aca="false">IF(G203="ANCHOR","Прокрутка к секции",IF(G203="EXT","Внешняя ссылка",IF(G203="PARENT","Вернуться туда, откуда открыто",IFERROR(INDEX(Реестр!$C:$C,MATCH(G203,Реестр!$A:$A,0)),"⚠ нет в реестре"))))</f>
        <v>Вернуться туда, откуда открыто</v>
      </c>
      <c r="I203" s="5" t="s">
        <v>780</v>
      </c>
      <c r="J203" s="10" t="s">
        <v>297</v>
      </c>
    </row>
    <row r="204" customFormat="false" ht="23.85" hidden="false" customHeight="false" outlineLevel="0" collapsed="false">
      <c r="A204" s="5" t="s">
        <v>781</v>
      </c>
      <c r="B204" s="5" t="s">
        <v>37</v>
      </c>
      <c r="C204" s="5" t="s">
        <v>266</v>
      </c>
      <c r="D204" s="11" t="str">
        <f aca="false">IFERROR(INDEX(Реестр!$C:$C,MATCH(C204,Реестр!$A:$A,0)),"⚠ нет в реестре")</f>
        <v>Подтверждение необратимого действия</v>
      </c>
      <c r="E204" s="5" t="s">
        <v>587</v>
      </c>
      <c r="F204" s="5" t="s">
        <v>492</v>
      </c>
      <c r="G204" s="5" t="s">
        <v>689</v>
      </c>
      <c r="H204" s="11" t="str">
        <f aca="false">IF(G204="ANCHOR","Прокрутка к секции",IF(G204="EXT","Внешняя ссылка",IF(G204="PARENT","Вернуться туда, откуда открыто",IFERROR(INDEX(Реестр!$C:$C,MATCH(G204,Реестр!$A:$A,0)),"⚠ нет в реестре"))))</f>
        <v>Вернуться туда, откуда открыто</v>
      </c>
      <c r="I204" s="5"/>
      <c r="J204" s="10" t="s">
        <v>297</v>
      </c>
    </row>
    <row r="205" customFormat="false" ht="46.25" hidden="false" customHeight="false" outlineLevel="0" collapsed="false">
      <c r="A205" s="5" t="s">
        <v>782</v>
      </c>
      <c r="B205" s="5" t="s">
        <v>38</v>
      </c>
      <c r="C205" s="5" t="s">
        <v>268</v>
      </c>
      <c r="D205" s="11" t="str">
        <f aca="false">IFERROR(INDEX(Реестр!$C:$C,MATCH(C205,Реестр!$A:$A,0)),"⚠ нет в реестре")</f>
        <v>Страница не найдена (404)</v>
      </c>
      <c r="E205" s="5" t="s">
        <v>513</v>
      </c>
      <c r="F205" s="5" t="s">
        <v>311</v>
      </c>
      <c r="G205" s="5" t="s">
        <v>55</v>
      </c>
      <c r="H205" s="11" t="str">
        <f aca="false">IF(G205="ANCHOR","Прокрутка к секции",IF(G205="EXT","Внешняя ссылка",IF(G205="PARENT","Вернуться туда, откуда открыто",IFERROR(INDEX(Реестр!$C:$C,MATCH(G205,Реестр!$A:$A,0)),"⚠ нет в реестре"))))</f>
        <v>Лендинг (секции: Услуги, Как это работает, Мастера, Работы, Контакты, Отзывы, Призыв записаться)</v>
      </c>
      <c r="I205" s="5"/>
      <c r="J205" s="10" t="s">
        <v>297</v>
      </c>
    </row>
    <row r="206" customFormat="false" ht="15" hidden="false" customHeight="false" outlineLevel="0" collapsed="false">
      <c r="A206" s="5" t="s">
        <v>783</v>
      </c>
      <c r="B206" s="5" t="s">
        <v>38</v>
      </c>
      <c r="C206" s="5" t="s">
        <v>272</v>
      </c>
      <c r="D206" s="11" t="str">
        <f aca="false">IFERROR(INDEX(Реестр!$C:$C,MATCH(C206,Реестр!$A:$A,0)),"⚠ нет в реестре")</f>
        <v>Общая ошибка / нет связи</v>
      </c>
      <c r="E206" s="5" t="s">
        <v>775</v>
      </c>
      <c r="F206" s="5" t="s">
        <v>428</v>
      </c>
      <c r="G206" s="5" t="s">
        <v>689</v>
      </c>
      <c r="H206" s="11" t="str">
        <f aca="false">IF(G206="ANCHOR","Прокрутка к секции",IF(G206="EXT","Внешняя ссылка",IF(G206="PARENT","Вернуться туда, откуда открыто",IFERROR(INDEX(Реестр!$C:$C,MATCH(G206,Реестр!$A:$A,0)),"⚠ нет в реестре"))))</f>
        <v>Вернуться туда, откуда открыто</v>
      </c>
      <c r="I206" s="5"/>
      <c r="J206" s="10" t="s">
        <v>297</v>
      </c>
    </row>
    <row r="207" customFormat="false" ht="46.25" hidden="false" customHeight="false" outlineLevel="0" collapsed="false">
      <c r="A207" s="5" t="s">
        <v>784</v>
      </c>
      <c r="B207" s="5" t="s">
        <v>38</v>
      </c>
      <c r="C207" s="5" t="s">
        <v>272</v>
      </c>
      <c r="D207" s="11" t="str">
        <f aca="false">IFERROR(INDEX(Реестр!$C:$C,MATCH(C207,Реестр!$A:$A,0)),"⚠ нет в реестре")</f>
        <v>Общая ошибка / нет связи</v>
      </c>
      <c r="E207" s="5" t="s">
        <v>513</v>
      </c>
      <c r="F207" s="5" t="s">
        <v>311</v>
      </c>
      <c r="G207" s="5" t="s">
        <v>55</v>
      </c>
      <c r="H207" s="11" t="str">
        <f aca="false">IF(G207="ANCHOR","Прокрутка к секции",IF(G207="EXT","Внешняя ссылка",IF(G207="PARENT","Вернуться туда, откуда открыто",IFERROR(INDEX(Реестр!$C:$C,MATCH(G207,Реестр!$A:$A,0)),"⚠ нет в реестре"))))</f>
        <v>Лендинг (секции: Услуги, Как это работает, Мастера, Работы, Контакты, Отзывы, Призыв записаться)</v>
      </c>
      <c r="I207" s="5"/>
      <c r="J207" s="10" t="s">
        <v>297</v>
      </c>
    </row>
    <row r="208" customFormat="false" ht="15" hidden="false" customHeight="false" outlineLevel="0" collapsed="false">
      <c r="A208" s="5" t="s">
        <v>785</v>
      </c>
      <c r="B208" s="5" t="s">
        <v>38</v>
      </c>
      <c r="C208" s="5" t="s">
        <v>274</v>
      </c>
      <c r="D208" s="11" t="str">
        <f aca="false">IFERROR(INDEX(Реестр!$C:$C,MATCH(C208,Реестр!$A:$A,0)),"⚠ нет в реестре")</f>
        <v>Сессия истекла</v>
      </c>
      <c r="E208" s="5" t="s">
        <v>786</v>
      </c>
      <c r="F208" s="5" t="s">
        <v>311</v>
      </c>
      <c r="G208" s="5" t="s">
        <v>71</v>
      </c>
      <c r="H208" s="11" t="str">
        <f aca="false">IF(G208="ANCHOR","Прокрутка к секции",IF(G208="EXT","Внешняя ссылка",IF(G208="PARENT","Вернуться туда, откуда открыто",IFERROR(INDEX(Реестр!$C:$C,MATCH(G208,Реестр!$A:$A,0)),"⚠ нет в реестре"))))</f>
        <v>Вход сотрудника</v>
      </c>
      <c r="I208" s="5" t="s">
        <v>787</v>
      </c>
      <c r="J208" s="10" t="s">
        <v>297</v>
      </c>
    </row>
    <row r="209" customFormat="false" ht="15" hidden="false" customHeight="false" outlineLevel="0" collapsed="false">
      <c r="A209" s="5" t="s">
        <v>788</v>
      </c>
      <c r="B209" s="5" t="s">
        <v>38</v>
      </c>
      <c r="C209" s="5" t="s">
        <v>276</v>
      </c>
      <c r="D209" s="11" t="str">
        <f aca="false">IFERROR(INDEX(Реестр!$C:$C,MATCH(C209,Реестр!$A:$A,0)),"⚠ нет в реестре")</f>
        <v>Учётная запись заблокирована</v>
      </c>
      <c r="E209" s="5" t="s">
        <v>789</v>
      </c>
      <c r="F209" s="5" t="s">
        <v>311</v>
      </c>
      <c r="G209" s="5" t="s">
        <v>71</v>
      </c>
      <c r="H209" s="11" t="str">
        <f aca="false">IF(G209="ANCHOR","Прокрутка к секции",IF(G209="EXT","Внешняя ссылка",IF(G209="PARENT","Вернуться туда, откуда открыто",IFERROR(INDEX(Реестр!$C:$C,MATCH(G209,Реестр!$A:$A,0)),"⚠ нет в реестре"))))</f>
        <v>Вход сотрудника</v>
      </c>
      <c r="I209" s="5"/>
      <c r="J209" s="10" t="s">
        <v>297</v>
      </c>
    </row>
    <row r="210" customFormat="false" ht="15" hidden="false" customHeight="false" outlineLevel="0" collapsed="false">
      <c r="A210" s="5" t="s">
        <v>790</v>
      </c>
      <c r="B210" s="5" t="s">
        <v>38</v>
      </c>
      <c r="C210" s="5" t="s">
        <v>276</v>
      </c>
      <c r="D210" s="11" t="str">
        <f aca="false">IFERROR(INDEX(Реестр!$C:$C,MATCH(C210,Реестр!$A:$A,0)),"⚠ нет в реестре")</f>
        <v>Учётная запись заблокирована</v>
      </c>
      <c r="E210" s="5" t="s">
        <v>791</v>
      </c>
      <c r="F210" s="5" t="s">
        <v>326</v>
      </c>
      <c r="G210" s="5" t="s">
        <v>327</v>
      </c>
      <c r="H210" s="11" t="str">
        <f aca="false">IF(G210="ANCHOR","Прокрутка к секции",IF(G210="EXT","Внешняя ссылка",IF(G210="PARENT","Вернуться туда, откуда открыто",IFERROR(INDEX(Реестр!$C:$C,MATCH(G210,Реестр!$A:$A,0)),"⚠ нет в реестре"))))</f>
        <v>Внешняя ссылка</v>
      </c>
      <c r="I210" s="5"/>
      <c r="J210" s="10" t="s">
        <v>297</v>
      </c>
    </row>
  </sheetData>
  <autoFilter ref="A1:J210"/>
  <conditionalFormatting sqref="H2:H1000">
    <cfRule type="expression" priority="2" aboveAverage="0" equalAverage="0" bottom="0" percent="0" rank="0" text="" dxfId="5">
      <formula>LEFT(H2,1)="⚠"</formula>
    </cfRule>
  </conditionalFormatting>
  <conditionalFormatting sqref="D2:D1000">
    <cfRule type="expression" priority="3" aboveAverage="0" equalAverage="0" bottom="0" percent="0" rank="0" text="" dxfId="5">
      <formula>LEFT(D2,1)="⚠"</formula>
    </cfRule>
  </conditionalFormatting>
  <dataValidations count="2">
    <dataValidation allowBlank="true" errorStyle="stop" operator="between" showDropDown="false" showErrorMessage="false" showInputMessage="false" sqref="J2:J1000" type="list">
      <formula1>"Не связано,Связано,Нет элемента,Требует решения,Не нужно"</formula1>
      <formula2>0</formula2>
    </dataValidation>
    <dataValidation allowBlank="true" errorStyle="stop" operator="between" showDropDown="false" showErrorMessage="false" showInputMessage="false" sqref="F2:F1000" type="list">
      <formula1>"Переход,Назад,Модалка,Шторка,Панель,Поповер,Закрыть оверлей,Внешняя ссылка,?"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90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792</v>
      </c>
      <c r="B1" s="4" t="s">
        <v>46</v>
      </c>
      <c r="C1" s="4" t="s">
        <v>793</v>
      </c>
      <c r="D1" s="4" t="s">
        <v>794</v>
      </c>
      <c r="E1" s="4" t="s">
        <v>795</v>
      </c>
      <c r="F1" s="4" t="s">
        <v>796</v>
      </c>
    </row>
    <row r="2" customFormat="false" ht="23.85" hidden="false" customHeight="false" outlineLevel="0" collapsed="false">
      <c r="A2" s="5" t="n">
        <v>1</v>
      </c>
      <c r="B2" s="5" t="s">
        <v>58</v>
      </c>
      <c r="C2" s="5" t="s">
        <v>797</v>
      </c>
      <c r="D2" s="5" t="s">
        <v>798</v>
      </c>
      <c r="E2" s="10" t="s">
        <v>799</v>
      </c>
      <c r="F2" s="10"/>
    </row>
    <row r="3" customFormat="false" ht="23.85" hidden="false" customHeight="false" outlineLevel="0" collapsed="false">
      <c r="A3" s="5" t="n">
        <v>2</v>
      </c>
      <c r="B3" s="5" t="s">
        <v>58</v>
      </c>
      <c r="C3" s="5" t="s">
        <v>800</v>
      </c>
      <c r="D3" s="5" t="s">
        <v>801</v>
      </c>
      <c r="E3" s="10" t="s">
        <v>799</v>
      </c>
      <c r="F3" s="10"/>
    </row>
    <row r="4" customFormat="false" ht="15" hidden="false" customHeight="false" outlineLevel="0" collapsed="false">
      <c r="A4" s="5" t="n">
        <v>3</v>
      </c>
      <c r="B4" s="5" t="s">
        <v>58</v>
      </c>
      <c r="C4" s="5" t="s">
        <v>221</v>
      </c>
      <c r="D4" s="5" t="s">
        <v>802</v>
      </c>
      <c r="E4" s="10" t="s">
        <v>799</v>
      </c>
      <c r="F4" s="10"/>
    </row>
    <row r="5" customFormat="false" ht="15" hidden="false" customHeight="false" outlineLevel="0" collapsed="false">
      <c r="A5" s="5" t="n">
        <v>4</v>
      </c>
      <c r="B5" s="5" t="s">
        <v>58</v>
      </c>
      <c r="C5" s="5" t="s">
        <v>113</v>
      </c>
      <c r="D5" s="5" t="s">
        <v>803</v>
      </c>
      <c r="E5" s="10" t="s">
        <v>799</v>
      </c>
      <c r="F5" s="10"/>
    </row>
    <row r="6" customFormat="false" ht="15" hidden="false" customHeight="false" outlineLevel="0" collapsed="false">
      <c r="A6" s="5" t="n">
        <v>5</v>
      </c>
      <c r="B6" s="5" t="s">
        <v>58</v>
      </c>
      <c r="C6" s="5" t="s">
        <v>804</v>
      </c>
      <c r="D6" s="5" t="s">
        <v>805</v>
      </c>
      <c r="E6" s="10" t="s">
        <v>799</v>
      </c>
      <c r="F6" s="10"/>
    </row>
    <row r="7" customFormat="false" ht="15" hidden="false" customHeight="false" outlineLevel="0" collapsed="false">
      <c r="A7" s="5" t="n">
        <v>6</v>
      </c>
      <c r="B7" s="5" t="s">
        <v>58</v>
      </c>
      <c r="C7" s="5" t="s">
        <v>806</v>
      </c>
      <c r="D7" s="5" t="s">
        <v>807</v>
      </c>
      <c r="E7" s="10" t="s">
        <v>799</v>
      </c>
      <c r="F7" s="10"/>
    </row>
    <row r="8" customFormat="false" ht="15" hidden="false" customHeight="false" outlineLevel="0" collapsed="false">
      <c r="A8" s="5" t="n">
        <v>7</v>
      </c>
      <c r="B8" s="5" t="s">
        <v>129</v>
      </c>
      <c r="C8" s="5" t="s">
        <v>808</v>
      </c>
      <c r="D8" s="5" t="s">
        <v>809</v>
      </c>
      <c r="E8" s="10" t="s">
        <v>799</v>
      </c>
      <c r="F8" s="10"/>
    </row>
    <row r="9" customFormat="false" ht="15" hidden="false" customHeight="false" outlineLevel="0" collapsed="false">
      <c r="A9" s="5" t="n">
        <v>8</v>
      </c>
      <c r="B9" s="5" t="s">
        <v>129</v>
      </c>
      <c r="C9" s="5" t="s">
        <v>810</v>
      </c>
      <c r="D9" s="5" t="s">
        <v>811</v>
      </c>
      <c r="E9" s="10" t="s">
        <v>799</v>
      </c>
      <c r="F9" s="10"/>
    </row>
    <row r="10" customFormat="false" ht="15" hidden="false" customHeight="false" outlineLevel="0" collapsed="false">
      <c r="A10" s="5" t="n">
        <v>9</v>
      </c>
      <c r="B10" s="5" t="s">
        <v>181</v>
      </c>
      <c r="C10" s="5" t="s">
        <v>812</v>
      </c>
      <c r="D10" s="5" t="s">
        <v>813</v>
      </c>
      <c r="E10" s="10" t="s">
        <v>799</v>
      </c>
      <c r="F10" s="10"/>
    </row>
    <row r="11" customFormat="false" ht="15" hidden="false" customHeight="false" outlineLevel="0" collapsed="false">
      <c r="A11" s="5" t="n">
        <v>10</v>
      </c>
      <c r="B11" s="5" t="s">
        <v>181</v>
      </c>
      <c r="C11" s="5" t="s">
        <v>814</v>
      </c>
      <c r="D11" s="5" t="s">
        <v>815</v>
      </c>
      <c r="E11" s="10" t="s">
        <v>799</v>
      </c>
      <c r="F11" s="10"/>
    </row>
    <row r="12" customFormat="false" ht="15" hidden="false" customHeight="false" outlineLevel="0" collapsed="false">
      <c r="A12" s="5" t="n">
        <v>11</v>
      </c>
      <c r="B12" s="5" t="s">
        <v>181</v>
      </c>
      <c r="C12" s="5" t="s">
        <v>816</v>
      </c>
      <c r="D12" s="5" t="s">
        <v>817</v>
      </c>
      <c r="E12" s="10" t="s">
        <v>799</v>
      </c>
      <c r="F12" s="10"/>
    </row>
    <row r="13" customFormat="false" ht="23.85" hidden="false" customHeight="false" outlineLevel="0" collapsed="false">
      <c r="A13" s="5" t="n">
        <v>12</v>
      </c>
      <c r="B13" s="5" t="s">
        <v>818</v>
      </c>
      <c r="C13" s="5" t="s">
        <v>819</v>
      </c>
      <c r="D13" s="5" t="s">
        <v>820</v>
      </c>
      <c r="E13" s="10" t="s">
        <v>799</v>
      </c>
      <c r="F13" s="10"/>
    </row>
  </sheetData>
  <dataValidations count="1">
    <dataValidation allowBlank="true" errorStyle="stop" operator="between" showDropDown="false" showErrorMessage="false" showInputMessage="false" sqref="E2:E100" type="list">
      <formula1>"Не проверено,Проходит,Обрывается"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24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4" t="s">
        <v>792</v>
      </c>
      <c r="B1" s="4" t="s">
        <v>821</v>
      </c>
      <c r="C1" s="4" t="s">
        <v>822</v>
      </c>
      <c r="D1" s="4" t="s">
        <v>823</v>
      </c>
      <c r="E1" s="4" t="s">
        <v>824</v>
      </c>
    </row>
    <row r="2" customFormat="false" ht="23.85" hidden="false" customHeight="false" outlineLevel="0" collapsed="false">
      <c r="A2" s="5" t="n">
        <v>1</v>
      </c>
      <c r="B2" s="5" t="s">
        <v>825</v>
      </c>
      <c r="C2" s="5" t="s">
        <v>826</v>
      </c>
      <c r="D2" s="5" t="s">
        <v>827</v>
      </c>
      <c r="E2" s="10"/>
    </row>
    <row r="3" customFormat="false" ht="23.85" hidden="false" customHeight="false" outlineLevel="0" collapsed="false">
      <c r="A3" s="5" t="n">
        <v>2</v>
      </c>
      <c r="B3" s="5" t="s">
        <v>828</v>
      </c>
      <c r="C3" s="5" t="s">
        <v>829</v>
      </c>
      <c r="D3" s="5" t="s">
        <v>827</v>
      </c>
      <c r="E3" s="10"/>
    </row>
    <row r="4" customFormat="false" ht="46.25" hidden="false" customHeight="false" outlineLevel="0" collapsed="false">
      <c r="A4" s="5" t="n">
        <v>3</v>
      </c>
      <c r="B4" s="5" t="s">
        <v>72</v>
      </c>
      <c r="C4" s="5" t="s">
        <v>830</v>
      </c>
      <c r="D4" s="5" t="s">
        <v>831</v>
      </c>
      <c r="E4" s="10"/>
    </row>
    <row r="5" customFormat="false" ht="23.85" hidden="false" customHeight="false" outlineLevel="0" collapsed="false">
      <c r="A5" s="5" t="n">
        <v>4</v>
      </c>
      <c r="B5" s="5" t="s">
        <v>832</v>
      </c>
      <c r="C5" s="5" t="s">
        <v>833</v>
      </c>
      <c r="D5" s="5" t="s">
        <v>834</v>
      </c>
      <c r="E5" s="10"/>
    </row>
    <row r="6" customFormat="false" ht="23.85" hidden="false" customHeight="false" outlineLevel="0" collapsed="false">
      <c r="A6" s="5" t="n">
        <v>5</v>
      </c>
      <c r="B6" s="5" t="s">
        <v>835</v>
      </c>
      <c r="C6" s="5" t="s">
        <v>836</v>
      </c>
      <c r="D6" s="5" t="s">
        <v>837</v>
      </c>
      <c r="E6" s="10"/>
    </row>
    <row r="7" customFormat="false" ht="23.85" hidden="false" customHeight="false" outlineLevel="0" collapsed="false">
      <c r="A7" s="5" t="n">
        <v>6</v>
      </c>
      <c r="B7" s="5" t="s">
        <v>838</v>
      </c>
      <c r="C7" s="5" t="s">
        <v>839</v>
      </c>
      <c r="D7" s="5" t="s">
        <v>834</v>
      </c>
      <c r="E7" s="10"/>
    </row>
    <row r="8" customFormat="false" ht="23.85" hidden="false" customHeight="false" outlineLevel="0" collapsed="false">
      <c r="A8" s="5" t="n">
        <v>7</v>
      </c>
      <c r="B8" s="5" t="s">
        <v>840</v>
      </c>
      <c r="C8" s="5" t="s">
        <v>841</v>
      </c>
      <c r="D8" s="5" t="s">
        <v>837</v>
      </c>
      <c r="E8" s="10"/>
    </row>
    <row r="9" customFormat="false" ht="23.85" hidden="false" customHeight="false" outlineLevel="0" collapsed="false">
      <c r="A9" s="5" t="n">
        <v>8</v>
      </c>
      <c r="B9" s="5" t="s">
        <v>842</v>
      </c>
      <c r="C9" s="5" t="s">
        <v>843</v>
      </c>
      <c r="D9" s="5" t="s">
        <v>844</v>
      </c>
      <c r="E9" s="10"/>
    </row>
    <row r="10" customFormat="false" ht="23.85" hidden="false" customHeight="false" outlineLevel="0" collapsed="false">
      <c r="A10" s="5" t="n">
        <v>9</v>
      </c>
      <c r="B10" s="5" t="s">
        <v>845</v>
      </c>
      <c r="C10" s="5" t="s">
        <v>846</v>
      </c>
      <c r="D10" s="5" t="s">
        <v>847</v>
      </c>
      <c r="E10" s="10"/>
    </row>
    <row r="11" customFormat="false" ht="35.05" hidden="false" customHeight="false" outlineLevel="0" collapsed="false">
      <c r="A11" s="5" t="n">
        <v>10</v>
      </c>
      <c r="B11" s="5" t="s">
        <v>848</v>
      </c>
      <c r="C11" s="5" t="s">
        <v>849</v>
      </c>
      <c r="D11" s="5" t="s">
        <v>850</v>
      </c>
      <c r="E11" s="10"/>
    </row>
    <row r="12" customFormat="false" ht="23.85" hidden="false" customHeight="false" outlineLevel="0" collapsed="false">
      <c r="A12" s="5" t="n">
        <v>11</v>
      </c>
      <c r="B12" s="5" t="s">
        <v>851</v>
      </c>
      <c r="C12" s="5" t="s">
        <v>852</v>
      </c>
      <c r="D12" s="5" t="s">
        <v>853</v>
      </c>
      <c r="E12" s="10"/>
    </row>
    <row r="13" customFormat="false" ht="23.85" hidden="false" customHeight="false" outlineLevel="0" collapsed="false">
      <c r="A13" s="5" t="n">
        <v>12</v>
      </c>
      <c r="B13" s="5" t="s">
        <v>854</v>
      </c>
      <c r="C13" s="5" t="s">
        <v>855</v>
      </c>
      <c r="D13" s="5" t="s">
        <v>856</v>
      </c>
      <c r="E13" s="10"/>
    </row>
    <row r="14" customFormat="false" ht="23.85" hidden="false" customHeight="false" outlineLevel="0" collapsed="false">
      <c r="A14" s="5" t="n">
        <v>13</v>
      </c>
      <c r="B14" s="5" t="s">
        <v>857</v>
      </c>
      <c r="C14" s="5" t="s">
        <v>858</v>
      </c>
      <c r="D14" s="5" t="s">
        <v>859</v>
      </c>
      <c r="E14" s="10"/>
    </row>
    <row r="15" customFormat="false" ht="23.85" hidden="false" customHeight="false" outlineLevel="0" collapsed="false">
      <c r="A15" s="5" t="n">
        <v>14</v>
      </c>
      <c r="B15" s="5" t="s">
        <v>860</v>
      </c>
      <c r="C15" s="5" t="s">
        <v>861</v>
      </c>
      <c r="D15" s="5" t="s">
        <v>862</v>
      </c>
      <c r="E1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2026-09-22T19:56:41Z</dcterms:created>
  <dc:creator>openpyxl</dc:creator>
  <dc:description/>
  <dc:language>en-US</dc:language>
  <cp:lastModifiedBy/>
  <dcterms:modified xsi:type="dcterms:W3CDTF">2026-09-22T19:56:41Z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